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Poker_2025_26" sheetId="2" r:id="rId6"/>
    <sheet name="Poker_2024_25" sheetId="3" r:id="rId7"/>
    <sheet name="Poker_2023_24" sheetId="4" r:id="rId8"/>
    <sheet name="Poker_2022_23" sheetId="5" r:id="rId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<sst xmlns="http://schemas.openxmlformats.org/spreadsheetml/2006/main" uniqueCount="54">
  <si>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</si>
  <si>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</si>
  <si>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</si>
  <si>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</si>
  <si>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Poker_2025_26</t>
  </si>
  <si>
    <t>Table 1</t>
  </si>
  <si>
    <t>Event: Dec 2025 (Darren)</t>
  </si>
  <si>
    <t>Name</t>
  </si>
  <si>
    <t>Appearance (2 points)</t>
  </si>
  <si>
    <t>Win (10 points)</t>
  </si>
  <si>
    <t>Tie *</t>
  </si>
  <si>
    <t>Runner-Up (5 point)</t>
  </si>
  <si>
    <t>Event Totals</t>
  </si>
  <si>
    <t>YTD Total</t>
  </si>
  <si>
    <t>Ranking</t>
  </si>
  <si>
    <t>Gary</t>
  </si>
  <si>
    <t>Chris</t>
  </si>
  <si>
    <t>Neave</t>
  </si>
  <si>
    <t>Darren</t>
  </si>
  <si>
    <t>Seymour</t>
  </si>
  <si>
    <t>Harish</t>
  </si>
  <si>
    <t>Junior</t>
  </si>
  <si>
    <t>Lorenzo</t>
  </si>
  <si>
    <t>Kerwin</t>
  </si>
  <si>
    <t>Tony</t>
  </si>
  <si>
    <t>Wayne</t>
  </si>
  <si>
    <t>Total</t>
  </si>
  <si>
    <t>Event: Jan 2026 (Seymour)</t>
  </si>
  <si>
    <t>Event: Feb 2026 (Junior)</t>
  </si>
  <si>
    <t>Event: Mar 2026 (Neave)</t>
  </si>
  <si>
    <t>Event: Apr 2026 ()</t>
  </si>
  <si>
    <t xml:space="preserve"> </t>
  </si>
  <si>
    <t>* Tie is a split of the cash prize between the remaining individuals in a game after 5 hands have been played and neither one has won all the chips in play. These individuals will split the total available pts for 1st place (10pts) and 2nd place (5pts) equally.</t>
  </si>
  <si>
    <t>Poker_2024_25</t>
  </si>
  <si>
    <t>Event: Nov 2024 (No Games)</t>
  </si>
  <si>
    <t>Event: Dec 2024 (No Games)</t>
  </si>
  <si>
    <t>Event: Jan 2025 (Seymour)</t>
  </si>
  <si>
    <t>Event: Feb 2025 (Junior)</t>
  </si>
  <si>
    <t>Event: March 2025 (Junior)</t>
  </si>
  <si>
    <t>Event: April 2025 (Kerwin)</t>
  </si>
  <si>
    <t>Poker_2023_24</t>
  </si>
  <si>
    <t>Event: Nov 2023 (No Games)</t>
  </si>
  <si>
    <t>Event: Dec 2023 (No Games)</t>
  </si>
  <si>
    <t>Event: Jan 2024 (Seymour)</t>
  </si>
  <si>
    <t>Event: Feb 2024 (Host: LiPoker)</t>
  </si>
  <si>
    <t>Event: March 2024 (Host:Neave )</t>
  </si>
  <si>
    <t>Event: April 2024 (Host: Neave)</t>
  </si>
  <si>
    <t>Poker_2022_23</t>
  </si>
  <si>
    <t>Event: Nov 2022 (Host: On-Line =&gt; LiPoker)</t>
  </si>
  <si>
    <t>Event: Dec 2022 (No Games)</t>
  </si>
  <si>
    <t>Event: Jan 2023 (Host: On-Line =&gt; LiPoker)</t>
  </si>
  <si>
    <t>Event: Feb 2023 (Host: On-Line =&gt; LiPoker)</t>
  </si>
  <si>
    <t>Event: March 2023 (Host: On-Line =&gt; LiPoker)</t>
  </si>
  <si>
    <t>Event: April 2023 (Host: On-Line =&gt; LiPoker)</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</si>
</sst>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Times New Roman"/>
    </font>
    <font>
      <sz val="11"/>
      <color indexed="8"/>
      <name val="Times New Roman"/>
    </font>
    <font>
      <b val="1"/>
      <sz val="11"/>
      <color indexed="12"/>
      <name val="Times New Roman"/>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s>
  <borders count="14">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medium">
        <color indexed="8"/>
      </bottom>
      <diagonal/>
    </border>
    <border>
      <left style="thin">
        <color indexed="13"/>
      </left>
      <right style="medium">
        <color indexed="8"/>
      </right>
      <top style="thin">
        <color indexed="13"/>
      </top>
      <bottom style="thin">
        <color indexed="13"/>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thin">
        <color indexed="13"/>
      </right>
      <top style="medium">
        <color indexed="8"/>
      </top>
      <bottom style="medium">
        <color indexed="8"/>
      </bottom>
      <diagonal/>
    </border>
    <border>
      <left style="thin">
        <color indexed="1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8"/>
      </bottom>
      <diagonal/>
    </border>
    <border>
      <left style="thin">
        <color indexed="13"/>
      </left>
      <right style="thin">
        <color indexed="8"/>
      </right>
      <top style="thin">
        <color indexed="13"/>
      </top>
      <bottom style="thin">
        <color indexed="13"/>
      </bottom>
      <diagonal/>
    </border>
    <border>
      <left style="thin">
        <color indexed="8"/>
      </left>
      <right style="thin">
        <color indexed="8"/>
      </right>
      <top style="thin">
        <color indexed="8"/>
      </top>
      <bottom style="thin">
        <color indexed="8"/>
      </bottom>
      <diagonal/>
    </border>
    <border>
      <left style="thin">
        <color indexed="13"/>
      </left>
      <right style="thin">
        <color indexed="13"/>
      </right>
      <top style="thin">
        <color indexed="8"/>
      </top>
      <bottom style="medium">
        <color indexed="8"/>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medium">
        <color indexed="8"/>
      </top>
      <bottom style="medium">
        <color indexed="8"/>
      </bottom>
      <diagonal/>
    </border>
  </borders>
  <cellStyleXfs count="1">
    <xf numFmtId="0" fontId="0" applyNumberFormat="0" applyFont="1" applyFill="0" applyBorder="0" applyAlignment="1" applyProtection="0">
      <alignment vertical="bottom"/>
    </xf>
  </cellStyleXfs>
  <cellXfs count="5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49" fontId="6" fillId="5" borderId="4" applyNumberFormat="1" applyFont="1" applyFill="1" applyBorder="1" applyAlignment="1" applyProtection="0">
      <alignment horizontal="center" vertical="bottom"/>
    </xf>
    <xf numFmtId="0" fontId="6" fillId="5" borderId="5" applyNumberFormat="0" applyFont="1" applyFill="1" applyBorder="1" applyAlignment="1" applyProtection="0">
      <alignment horizontal="center" vertical="bottom"/>
    </xf>
    <xf numFmtId="0" fontId="0" fillId="4" borderId="6" applyNumberFormat="0" applyFont="1" applyFill="1" applyBorder="1" applyAlignment="1" applyProtection="0">
      <alignment vertical="bottom"/>
    </xf>
    <xf numFmtId="0" fontId="0" fillId="4" borderId="7" applyNumberFormat="0" applyFont="1" applyFill="1" applyBorder="1" applyAlignment="1" applyProtection="0">
      <alignment vertical="bottom"/>
    </xf>
    <xf numFmtId="49" fontId="6" fillId="6" borderId="8" applyNumberFormat="1" applyFont="1" applyFill="1" applyBorder="1" applyAlignment="1" applyProtection="0">
      <alignment vertical="bottom"/>
    </xf>
    <xf numFmtId="49" fontId="6" fillId="6" borderId="8" applyNumberFormat="1" applyFont="1" applyFill="1" applyBorder="1" applyAlignment="1" applyProtection="0">
      <alignment horizontal="center" vertical="bottom"/>
    </xf>
    <xf numFmtId="0" fontId="0" fillId="4" borderId="9" applyNumberFormat="0" applyFont="1" applyFill="1" applyBorder="1" applyAlignment="1" applyProtection="0">
      <alignment vertical="bottom"/>
    </xf>
    <xf numFmtId="49" fontId="0" fillId="4" borderId="10" applyNumberFormat="1" applyFont="1" applyFill="1" applyBorder="1" applyAlignment="1" applyProtection="0">
      <alignment vertical="bottom"/>
    </xf>
    <xf numFmtId="0" fontId="0" fillId="4" borderId="10" applyNumberFormat="1" applyFont="1" applyFill="1" applyBorder="1" applyAlignment="1" applyProtection="0">
      <alignment vertical="bottom"/>
    </xf>
    <xf numFmtId="0" fontId="0" fillId="4" borderId="10" applyNumberFormat="0" applyFont="1" applyFill="1" applyBorder="1" applyAlignment="1" applyProtection="0">
      <alignment vertical="bottom"/>
    </xf>
    <xf numFmtId="0" fontId="7" fillId="4" borderId="10" applyNumberFormat="1" applyFont="1" applyFill="1" applyBorder="1" applyAlignment="1" applyProtection="0">
      <alignment horizontal="right" vertical="bottom"/>
    </xf>
    <xf numFmtId="49" fontId="6" fillId="5" borderId="10" applyNumberFormat="1" applyFont="1" applyFill="1" applyBorder="1" applyAlignment="1" applyProtection="0">
      <alignment vertical="bottom"/>
    </xf>
    <xf numFmtId="0" fontId="6" fillId="5" borderId="10" applyNumberFormat="1" applyFont="1" applyFill="1" applyBorder="1" applyAlignment="1" applyProtection="0">
      <alignment vertical="bottom"/>
    </xf>
    <xf numFmtId="0" fontId="6" fillId="5" borderId="10" applyNumberFormat="0" applyFont="1" applyFill="1" applyBorder="1" applyAlignment="1" applyProtection="0">
      <alignment vertical="bottom"/>
    </xf>
    <xf numFmtId="0" fontId="0" fillId="4" borderId="11"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49" fontId="0" fillId="4" borderId="1" applyNumberFormat="1" applyFont="1" applyFill="1" applyBorder="1" applyAlignment="1" applyProtection="0">
      <alignment vertical="bottom" wrapText="1"/>
    </xf>
    <xf numFmtId="0" fontId="0" fillId="4" borderId="1"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7" borderId="1" applyNumberFormat="0" applyFont="1" applyFill="0" applyBorder="1" applyAlignment="1" applyProtection="0">
      <alignment vertical="bottom"/>
    </xf>
    <xf numFmtId="0" fontId="7" borderId="2" applyNumberFormat="0" applyFont="1" applyFill="0" applyBorder="1" applyAlignment="1" applyProtection="0">
      <alignment vertical="bottom"/>
    </xf>
    <xf numFmtId="0" fontId="7" borderId="3" applyNumberFormat="0" applyFont="1" applyFill="0" applyBorder="1" applyAlignment="1" applyProtection="0">
      <alignment vertical="bottom"/>
    </xf>
    <xf numFmtId="0" fontId="6" fillId="5" borderId="6" applyNumberFormat="0" applyFont="1" applyFill="1" applyBorder="1" applyAlignment="1" applyProtection="0">
      <alignment horizontal="center" vertical="bottom"/>
    </xf>
    <xf numFmtId="0" fontId="7" borderId="13" applyNumberFormat="0" applyFont="1" applyFill="0" applyBorder="1" applyAlignment="1" applyProtection="0">
      <alignment vertical="bottom"/>
    </xf>
    <xf numFmtId="0" fontId="7" borderId="9" applyNumberFormat="0" applyFont="1" applyFill="0" applyBorder="1" applyAlignment="1" applyProtection="0">
      <alignment vertical="bottom"/>
    </xf>
    <xf numFmtId="49" fontId="7" borderId="10" applyNumberFormat="1" applyFont="1" applyFill="0" applyBorder="1" applyAlignment="1" applyProtection="0">
      <alignment vertical="bottom"/>
    </xf>
    <xf numFmtId="0" fontId="7" borderId="10" applyNumberFormat="1" applyFont="1" applyFill="0" applyBorder="1" applyAlignment="1" applyProtection="0">
      <alignment vertical="bottom"/>
    </xf>
    <xf numFmtId="0" fontId="7" borderId="10" applyNumberFormat="0" applyFont="1" applyFill="0" applyBorder="1" applyAlignment="1" applyProtection="0">
      <alignment vertical="bottom"/>
    </xf>
    <xf numFmtId="0" fontId="7" borderId="10" applyNumberFormat="1" applyFont="1" applyFill="0" applyBorder="1" applyAlignment="1" applyProtection="0">
      <alignment horizontal="right" vertical="bottom"/>
    </xf>
    <xf numFmtId="0" fontId="7" borderId="11" applyNumberFormat="0" applyFont="1" applyFill="0" applyBorder="1" applyAlignment="1" applyProtection="0">
      <alignment vertical="bottom"/>
    </xf>
    <xf numFmtId="49" fontId="8" fillId="7" borderId="10" applyNumberFormat="1" applyFont="1" applyFill="1" applyBorder="1" applyAlignment="1" applyProtection="0">
      <alignment vertical="bottom"/>
    </xf>
    <xf numFmtId="0" fontId="8" fillId="7" borderId="10" applyNumberFormat="1" applyFont="1" applyFill="1" applyBorder="1" applyAlignment="1" applyProtection="0">
      <alignment vertical="bottom"/>
    </xf>
    <xf numFmtId="0" fontId="8" fillId="7" borderId="10" applyNumberFormat="0" applyFont="1" applyFill="1" applyBorder="1" applyAlignment="1" applyProtection="0">
      <alignment vertical="bottom"/>
    </xf>
    <xf numFmtId="0" fontId="7" borderId="12" applyNumberFormat="0" applyFont="1" applyFill="0" applyBorder="1" applyAlignment="1" applyProtection="0">
      <alignment vertical="bottom"/>
    </xf>
    <xf numFmtId="49" fontId="7" fillId="4" borderId="1" applyNumberFormat="1" applyFont="1" applyFill="1" applyBorder="1" applyAlignment="1" applyProtection="0">
      <alignment vertical="bottom" wrapText="1"/>
    </xf>
    <xf numFmtId="0" fontId="7" fillId="4" borderId="1"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fillId="4" borderId="13" applyNumberFormat="0" applyFont="1" applyFill="1" applyBorder="1" applyAlignment="1" applyProtection="0">
      <alignment vertical="bottom"/>
    </xf>
    <xf numFmtId="0" fontId="7" fillId="4" borderId="10" applyNumberFormat="0" applyFont="1" applyFill="1" applyBorder="1" applyAlignment="1" applyProtection="0">
      <alignment horizontal="righ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ffcc99"/>
      <rgbColor rgb="ffccffcc"/>
      <rgbColor rgb="ff4472c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33</v>
      </c>
      <c r="C11" s="3"/>
      <c r="D11" s="3"/>
    </row>
    <row r="12">
      <c r="B12" s="4"/>
      <c r="C12" t="s" s="4">
        <v>5</v>
      </c>
      <c r="D12" t="s" s="5">
        <v>33</v>
      </c>
    </row>
    <row r="13">
      <c r="B13" t="s" s="3">
        <v>40</v>
      </c>
      <c r="C13" s="3"/>
      <c r="D13" s="3"/>
    </row>
    <row r="14">
      <c r="B14" s="4"/>
      <c r="C14" t="s" s="4">
        <v>5</v>
      </c>
      <c r="D14" t="s" s="5">
        <v>40</v>
      </c>
    </row>
    <row r="15">
      <c r="B15" t="s" s="3">
        <v>47</v>
      </c>
      <c r="C15" s="3"/>
      <c r="D15" s="3"/>
    </row>
    <row r="16">
      <c r="B16" s="4"/>
      <c r="C16" t="s" s="4">
        <v>5</v>
      </c>
      <c r="D16" t="s" s="5">
        <v>47</v>
      </c>
    </row>
  </sheetData>
  <mergeCells count="1">
    <mergeCell ref="B3:D3"/>
  </mergeCells>
  <hyperlinks>
    <hyperlink ref="D10" location="'Poker_2025_26'!R1C1" tooltip="" display="Poker_2025_26"/>
    <hyperlink ref="D12" location="'Poker_2024_25'!R1C1" tooltip="" display="Poker_2024_25"/>
    <hyperlink ref="D14" location="'Poker_2023_24'!R1C1" tooltip="" display="Poker_2023_24"/>
    <hyperlink ref="D16" location="'Poker_2022_23'!R1C1" tooltip="" display="Poker_2022_23"/>
  </hyperlinks>
</worksheet>
</file>

<file path=xl/worksheets/sheet2.xml><?xml version="1.0" encoding="utf-8"?>
<worksheet xmlns:r="http://schemas.openxmlformats.org/officeDocument/2006/relationships" xmlns="http://schemas.openxmlformats.org/spreadsheetml/2006/main">
  <dimension ref="A1:I78"/>
  <sheetViews>
    <sheetView workbookViewId="0" showGridLines="0" defaultGridColor="1"/>
  </sheetViews>
  <sheetFormatPr defaultColWidth="9.16667" defaultRowHeight="14" customHeight="1" outlineLevelRow="0" outlineLevelCol="0"/>
  <cols>
    <col min="1" max="1" width="1.67188" style="6" customWidth="1"/>
    <col min="2" max="9" width="20.6719" style="6" customWidth="1"/>
    <col min="10" max="16384" width="9.17188" style="6" customWidth="1"/>
  </cols>
  <sheetData>
    <row r="1" ht="14.5" customHeight="1">
      <c r="A1" s="7"/>
      <c r="B1" s="8"/>
      <c r="C1" s="8"/>
      <c r="D1" s="8"/>
      <c r="E1" s="8"/>
      <c r="F1" s="8"/>
      <c r="G1" s="8"/>
      <c r="H1" s="8"/>
      <c r="I1" s="8"/>
    </row>
    <row r="2" ht="14.5" customHeight="1">
      <c r="A2" s="9"/>
      <c r="B2" t="s" s="10">
        <v>6</v>
      </c>
      <c r="C2" s="11"/>
      <c r="D2" s="11"/>
      <c r="E2" s="11"/>
      <c r="F2" s="11"/>
      <c r="G2" s="11"/>
      <c r="H2" s="12"/>
      <c r="I2" s="13"/>
    </row>
    <row r="3" ht="16.5" customHeight="1">
      <c r="A3" s="9"/>
      <c r="B3" t="s" s="14">
        <v>7</v>
      </c>
      <c r="C3" t="s" s="15">
        <v>8</v>
      </c>
      <c r="D3" t="s" s="15">
        <v>9</v>
      </c>
      <c r="E3" t="s" s="15">
        <v>10</v>
      </c>
      <c r="F3" t="s" s="15">
        <v>11</v>
      </c>
      <c r="G3" t="s" s="15">
        <v>12</v>
      </c>
      <c r="H3" t="s" s="15">
        <v>13</v>
      </c>
      <c r="I3" t="s" s="15">
        <v>14</v>
      </c>
    </row>
    <row r="4" ht="16" customHeight="1">
      <c r="A4" s="16"/>
      <c r="B4" t="s" s="17">
        <v>15</v>
      </c>
      <c r="C4" s="18">
        <v>2</v>
      </c>
      <c r="D4" s="18">
        <v>10</v>
      </c>
      <c r="E4" s="19"/>
      <c r="F4" s="19"/>
      <c r="G4" s="18" cm="1">
        <f t="array" ref="G4">SUM(C4:F4)</f>
        <v>12</v>
      </c>
      <c r="H4" s="18" cm="1">
        <f t="array" ref="H4">G4</f>
        <v>12</v>
      </c>
      <c r="I4" s="18">
        <v>1</v>
      </c>
    </row>
    <row r="5" ht="16" customHeight="1">
      <c r="A5" s="16"/>
      <c r="B5" t="s" s="17">
        <v>16</v>
      </c>
      <c r="C5" s="18">
        <v>2</v>
      </c>
      <c r="D5" s="18">
        <v>10</v>
      </c>
      <c r="E5" s="19"/>
      <c r="F5" s="19"/>
      <c r="G5" s="18" cm="1">
        <f t="array" ref="G5">SUM(C5:F5)</f>
        <v>12</v>
      </c>
      <c r="H5" s="18" cm="1">
        <f t="array" ref="H5">G5</f>
        <v>12</v>
      </c>
      <c r="I5" s="18">
        <v>1</v>
      </c>
    </row>
    <row r="6" ht="16" customHeight="1">
      <c r="A6" s="16"/>
      <c r="B6" t="s" s="17">
        <v>17</v>
      </c>
      <c r="C6" s="18">
        <v>2</v>
      </c>
      <c r="D6" s="18">
        <v>10</v>
      </c>
      <c r="E6" s="19"/>
      <c r="F6" s="19"/>
      <c r="G6" s="18" cm="1">
        <f t="array" ref="G6">SUM(C6:F6)</f>
        <v>12</v>
      </c>
      <c r="H6" s="18" cm="1">
        <f t="array" ref="H6">G6</f>
        <v>12</v>
      </c>
      <c r="I6" s="18">
        <v>1</v>
      </c>
    </row>
    <row r="7" ht="16" customHeight="1">
      <c r="A7" s="16"/>
      <c r="B7" t="s" s="17">
        <v>18</v>
      </c>
      <c r="C7" s="18">
        <v>2</v>
      </c>
      <c r="D7" s="19"/>
      <c r="E7" s="19"/>
      <c r="F7" s="18">
        <v>5</v>
      </c>
      <c r="G7" s="18" cm="1">
        <f t="array" ref="G7">SUM(C7:F7)</f>
        <v>7</v>
      </c>
      <c r="H7" s="18" cm="1">
        <f t="array" ref="H7">G7</f>
        <v>7</v>
      </c>
      <c r="I7" s="18">
        <v>4</v>
      </c>
    </row>
    <row r="8" ht="16" customHeight="1">
      <c r="A8" s="16"/>
      <c r="B8" t="s" s="17">
        <v>19</v>
      </c>
      <c r="C8" s="18">
        <v>2</v>
      </c>
      <c r="D8" s="19"/>
      <c r="E8" s="19"/>
      <c r="F8" s="18">
        <v>5</v>
      </c>
      <c r="G8" s="18" cm="1">
        <f t="array" ref="G8">SUM(C8:F8)</f>
        <v>7</v>
      </c>
      <c r="H8" s="18" cm="1">
        <f t="array" ref="H8">G8</f>
        <v>7</v>
      </c>
      <c r="I8" s="18">
        <v>4</v>
      </c>
    </row>
    <row r="9" ht="16" customHeight="1">
      <c r="A9" s="16"/>
      <c r="B9" t="s" s="17">
        <v>20</v>
      </c>
      <c r="C9" s="18">
        <v>2</v>
      </c>
      <c r="D9" s="19"/>
      <c r="E9" s="19"/>
      <c r="F9" s="18">
        <v>5</v>
      </c>
      <c r="G9" s="18" cm="1">
        <f t="array" ref="G9">SUM(C9:F9)</f>
        <v>7</v>
      </c>
      <c r="H9" s="18" cm="1">
        <f t="array" ref="H9">G9</f>
        <v>7</v>
      </c>
      <c r="I9" s="18">
        <v>4</v>
      </c>
    </row>
    <row r="10" ht="16" customHeight="1">
      <c r="A10" s="16"/>
      <c r="B10" t="s" s="17">
        <v>21</v>
      </c>
      <c r="C10" s="18">
        <v>2</v>
      </c>
      <c r="D10" s="19"/>
      <c r="E10" s="19"/>
      <c r="F10" s="19"/>
      <c r="G10" s="18" cm="1">
        <f t="array" ref="G10">SUM(C10:F10)</f>
        <v>2</v>
      </c>
      <c r="H10" s="18" cm="1">
        <f t="array" ref="H10">G10</f>
        <v>2</v>
      </c>
      <c r="I10" s="18">
        <v>7</v>
      </c>
    </row>
    <row r="11" ht="16" customHeight="1">
      <c r="A11" s="16"/>
      <c r="B11" t="s" s="17">
        <v>22</v>
      </c>
      <c r="C11" s="20">
        <v>0</v>
      </c>
      <c r="D11" s="19"/>
      <c r="E11" s="19"/>
      <c r="F11" s="19"/>
      <c r="G11" s="18" cm="1">
        <f t="array" ref="G11">SUM(C11:F11)</f>
        <v>0</v>
      </c>
      <c r="H11" s="18" cm="1">
        <f t="array" ref="H11">G11</f>
        <v>0</v>
      </c>
      <c r="I11" s="18">
        <v>8</v>
      </c>
    </row>
    <row r="12" ht="16" customHeight="1">
      <c r="A12" s="16"/>
      <c r="B12" t="s" s="17">
        <v>23</v>
      </c>
      <c r="C12" s="18">
        <v>0</v>
      </c>
      <c r="D12" s="19"/>
      <c r="E12" s="19"/>
      <c r="F12" s="19"/>
      <c r="G12" s="18" cm="1">
        <f t="array" ref="G12">SUM(C12:F12)</f>
        <v>0</v>
      </c>
      <c r="H12" s="18" cm="1">
        <f t="array" ref="H12">G12</f>
        <v>0</v>
      </c>
      <c r="I12" s="18">
        <v>8</v>
      </c>
    </row>
    <row r="13" ht="16" customHeight="1">
      <c r="A13" s="16"/>
      <c r="B13" t="s" s="17">
        <v>24</v>
      </c>
      <c r="C13" s="18">
        <v>0</v>
      </c>
      <c r="D13" s="19"/>
      <c r="E13" s="19"/>
      <c r="F13" s="19"/>
      <c r="G13" s="18" cm="1">
        <f t="array" ref="G13">SUM(C13:F13)</f>
        <v>0</v>
      </c>
      <c r="H13" s="18" cm="1">
        <f t="array" ref="H13">G13</f>
        <v>0</v>
      </c>
      <c r="I13" s="18">
        <v>8</v>
      </c>
    </row>
    <row r="14" ht="16" customHeight="1">
      <c r="A14" s="16"/>
      <c r="B14" t="s" s="17">
        <v>25</v>
      </c>
      <c r="C14" s="18">
        <v>0</v>
      </c>
      <c r="D14" s="19"/>
      <c r="E14" s="19"/>
      <c r="F14" s="19"/>
      <c r="G14" s="18" cm="1">
        <f t="array" ref="G14">SUM(C14:F14)</f>
        <v>0</v>
      </c>
      <c r="H14" s="18" cm="1">
        <f t="array" ref="H14">G14</f>
        <v>0</v>
      </c>
      <c r="I14" s="18">
        <v>8</v>
      </c>
    </row>
    <row r="15" ht="16" customHeight="1">
      <c r="A15" s="16"/>
      <c r="B15" t="s" s="21">
        <v>26</v>
      </c>
      <c r="C15" s="22" cm="1">
        <f t="array" ref="C15">SUM(C4:C14)</f>
        <v>14</v>
      </c>
      <c r="D15" s="22" cm="1">
        <f t="array" ref="D15">SUM(D4:D14)</f>
        <v>30</v>
      </c>
      <c r="E15" s="22" cm="1">
        <f t="array" ref="E15">SUM(E4:E14)</f>
        <v>0</v>
      </c>
      <c r="F15" s="22" cm="1">
        <f t="array" ref="F15">SUM(F4:F14)</f>
        <v>15</v>
      </c>
      <c r="G15" s="22" cm="1">
        <f t="array" ref="G15">SUM(G4:G14)</f>
        <v>59</v>
      </c>
      <c r="H15" s="22" cm="1">
        <f t="array" ref="H15">SUM(H4:H14)</f>
        <v>59</v>
      </c>
      <c r="I15" s="23"/>
    </row>
    <row r="16" ht="14.5" customHeight="1">
      <c r="A16" s="7"/>
      <c r="B16" s="24"/>
      <c r="C16" s="24"/>
      <c r="D16" s="24"/>
      <c r="E16" s="24"/>
      <c r="F16" s="24"/>
      <c r="G16" s="24"/>
      <c r="H16" s="24"/>
      <c r="I16" s="24"/>
    </row>
    <row r="17" ht="14.5" customHeight="1">
      <c r="A17" s="9"/>
      <c r="B17" t="s" s="10">
        <v>27</v>
      </c>
      <c r="C17" s="11"/>
      <c r="D17" s="11"/>
      <c r="E17" s="11"/>
      <c r="F17" s="11"/>
      <c r="G17" s="11"/>
      <c r="H17" s="12"/>
      <c r="I17" s="13"/>
    </row>
    <row r="18" ht="16.5" customHeight="1">
      <c r="A18" s="9"/>
      <c r="B18" t="s" s="14">
        <v>7</v>
      </c>
      <c r="C18" t="s" s="15">
        <v>8</v>
      </c>
      <c r="D18" t="s" s="15">
        <v>9</v>
      </c>
      <c r="E18" t="s" s="15">
        <v>10</v>
      </c>
      <c r="F18" t="s" s="15">
        <v>11</v>
      </c>
      <c r="G18" t="s" s="15">
        <v>12</v>
      </c>
      <c r="H18" t="s" s="15">
        <v>13</v>
      </c>
      <c r="I18" t="s" s="15">
        <v>14</v>
      </c>
    </row>
    <row r="19" ht="16" customHeight="1">
      <c r="A19" s="16"/>
      <c r="B19" t="s" s="17">
        <v>15</v>
      </c>
      <c r="C19" s="18">
        <v>2</v>
      </c>
      <c r="D19" s="18">
        <v>10</v>
      </c>
      <c r="E19" s="19"/>
      <c r="F19" s="19"/>
      <c r="G19" s="18" cm="1">
        <f t="array" ref="G19">SUM(C19:F19)</f>
        <v>12</v>
      </c>
      <c r="H19" s="18" cm="1">
        <f t="array" ref="H19">G19+H4</f>
        <v>24</v>
      </c>
      <c r="I19" s="18">
        <v>1</v>
      </c>
    </row>
    <row r="20" ht="16" customHeight="1">
      <c r="A20" s="16"/>
      <c r="B20" t="s" s="17">
        <v>16</v>
      </c>
      <c r="C20" s="18">
        <v>2</v>
      </c>
      <c r="D20" s="19"/>
      <c r="E20" s="19"/>
      <c r="F20" s="19"/>
      <c r="G20" s="18" cm="1">
        <f t="array" ref="G20">SUM(C20:F20)</f>
        <v>2</v>
      </c>
      <c r="H20" s="18" cm="1">
        <f t="array" ref="H20">G20+H5</f>
        <v>14</v>
      </c>
      <c r="I20" s="18">
        <v>5</v>
      </c>
    </row>
    <row r="21" ht="16" customHeight="1">
      <c r="A21" s="16"/>
      <c r="B21" t="s" s="17">
        <v>17</v>
      </c>
      <c r="C21" s="18">
        <v>2</v>
      </c>
      <c r="D21" s="19"/>
      <c r="E21" s="18">
        <v>7.5</v>
      </c>
      <c r="F21" s="19"/>
      <c r="G21" s="18" cm="1">
        <f t="array" ref="G21">SUM(C21:F21)</f>
        <v>9.5</v>
      </c>
      <c r="H21" s="18" cm="1">
        <f t="array" ref="H21">G21+H6</f>
        <v>21.5</v>
      </c>
      <c r="I21" s="18">
        <v>2</v>
      </c>
    </row>
    <row r="22" ht="16" customHeight="1">
      <c r="A22" s="16"/>
      <c r="B22" t="s" s="17">
        <v>18</v>
      </c>
      <c r="C22" s="18">
        <v>2</v>
      </c>
      <c r="D22" s="19"/>
      <c r="E22" s="19"/>
      <c r="F22" s="19"/>
      <c r="G22" s="18" cm="1">
        <f t="array" ref="G22">SUM(C22:F22)</f>
        <v>2</v>
      </c>
      <c r="H22" s="18" cm="1">
        <f t="array" ref="H22">G22+H7</f>
        <v>9</v>
      </c>
      <c r="I22" s="18">
        <v>7</v>
      </c>
    </row>
    <row r="23" ht="16" customHeight="1">
      <c r="A23" s="16"/>
      <c r="B23" t="s" s="17">
        <v>19</v>
      </c>
      <c r="C23" s="18">
        <v>2</v>
      </c>
      <c r="D23" s="18">
        <v>10</v>
      </c>
      <c r="E23" s="19"/>
      <c r="F23" s="19"/>
      <c r="G23" s="18" cm="1">
        <f t="array" ref="G23">SUM(C23:F23)</f>
        <v>12</v>
      </c>
      <c r="H23" s="18" cm="1">
        <f t="array" ref="H23">G23+H8</f>
        <v>19</v>
      </c>
      <c r="I23" s="18">
        <v>3</v>
      </c>
    </row>
    <row r="24" ht="16" customHeight="1">
      <c r="A24" s="16"/>
      <c r="B24" t="s" s="17">
        <v>20</v>
      </c>
      <c r="C24" s="18">
        <v>2</v>
      </c>
      <c r="D24" s="19"/>
      <c r="E24" s="19"/>
      <c r="F24" s="18">
        <v>10</v>
      </c>
      <c r="G24" s="18" cm="1">
        <f t="array" ref="G24">SUM(C24:F24)</f>
        <v>12</v>
      </c>
      <c r="H24" s="18" cm="1">
        <f t="array" ref="H24">G24+H9</f>
        <v>19</v>
      </c>
      <c r="I24" s="18">
        <v>3</v>
      </c>
    </row>
    <row r="25" ht="16" customHeight="1">
      <c r="A25" s="16"/>
      <c r="B25" t="s" s="17">
        <v>21</v>
      </c>
      <c r="C25" s="18">
        <v>2</v>
      </c>
      <c r="D25" s="19"/>
      <c r="E25" s="18">
        <v>7.5</v>
      </c>
      <c r="F25" s="19"/>
      <c r="G25" s="18" cm="1">
        <f t="array" ref="G25">SUM(C25:F25)</f>
        <v>9.5</v>
      </c>
      <c r="H25" s="18" cm="1">
        <f t="array" ref="H25">G25+H10</f>
        <v>11.5</v>
      </c>
      <c r="I25" s="18">
        <v>6</v>
      </c>
    </row>
    <row r="26" ht="16" customHeight="1">
      <c r="A26" s="16"/>
      <c r="B26" t="s" s="17">
        <v>22</v>
      </c>
      <c r="C26" s="18">
        <v>0</v>
      </c>
      <c r="D26" s="19"/>
      <c r="E26" s="19"/>
      <c r="F26" s="19"/>
      <c r="G26" s="18" cm="1">
        <f t="array" ref="G26">SUM(C26:F26)</f>
        <v>0</v>
      </c>
      <c r="H26" s="18" cm="1">
        <f t="array" ref="H26">G26+H11</f>
        <v>0</v>
      </c>
      <c r="I26" s="18">
        <v>10</v>
      </c>
    </row>
    <row r="27" ht="16" customHeight="1">
      <c r="A27" s="16"/>
      <c r="B27" t="s" s="17">
        <v>23</v>
      </c>
      <c r="C27" s="18">
        <v>2</v>
      </c>
      <c r="D27" s="19"/>
      <c r="E27" s="19"/>
      <c r="F27" s="19"/>
      <c r="G27" s="18" cm="1">
        <f t="array" ref="G27">SUM(C27:F27)</f>
        <v>2</v>
      </c>
      <c r="H27" s="18" cm="1">
        <f t="array" ref="H27">G27+H12</f>
        <v>2</v>
      </c>
      <c r="I27" s="18">
        <v>8</v>
      </c>
    </row>
    <row r="28" ht="16" customHeight="1">
      <c r="A28" s="16"/>
      <c r="B28" t="s" s="17">
        <v>24</v>
      </c>
      <c r="C28" s="18">
        <v>0</v>
      </c>
      <c r="D28" s="19"/>
      <c r="E28" s="19"/>
      <c r="F28" s="19"/>
      <c r="G28" s="18" cm="1">
        <f t="array" ref="G28">SUM(C28:F28)</f>
        <v>0</v>
      </c>
      <c r="H28" s="18" cm="1">
        <f t="array" ref="H28">G28+H13</f>
        <v>0</v>
      </c>
      <c r="I28" s="18">
        <v>10</v>
      </c>
    </row>
    <row r="29" ht="16" customHeight="1">
      <c r="A29" s="16"/>
      <c r="B29" t="s" s="17">
        <v>25</v>
      </c>
      <c r="C29" s="20">
        <v>2</v>
      </c>
      <c r="D29" s="19"/>
      <c r="E29" s="19"/>
      <c r="F29" s="19"/>
      <c r="G29" s="18" cm="1">
        <f t="array" ref="G29">SUM(C29:F29)</f>
        <v>2</v>
      </c>
      <c r="H29" s="18" cm="1">
        <f t="array" ref="H29">G29+H14</f>
        <v>2</v>
      </c>
      <c r="I29" s="18">
        <v>8</v>
      </c>
    </row>
    <row r="30" ht="16" customHeight="1">
      <c r="A30" s="16"/>
      <c r="B30" t="s" s="21">
        <v>26</v>
      </c>
      <c r="C30" s="22" cm="1">
        <f t="array" ref="C30">SUM(C19:C29)</f>
        <v>18</v>
      </c>
      <c r="D30" s="22" cm="1">
        <f t="array" ref="D30">SUM(D19:D29)</f>
        <v>20</v>
      </c>
      <c r="E30" s="22" cm="1">
        <f t="array" ref="E30">SUM(E19:E29)</f>
        <v>15</v>
      </c>
      <c r="F30" s="22" cm="1">
        <f t="array" ref="F30">SUM(F19:F29)</f>
        <v>10</v>
      </c>
      <c r="G30" s="22" cm="1">
        <f t="array" ref="G30">SUM(G19:G29)</f>
        <v>63</v>
      </c>
      <c r="H30" s="22" cm="1">
        <f t="array" ref="H30">SUM(H19:H29)</f>
        <v>122</v>
      </c>
      <c r="I30" s="23"/>
    </row>
    <row r="31" ht="14.5" customHeight="1">
      <c r="A31" s="7"/>
      <c r="B31" s="24"/>
      <c r="C31" s="24"/>
      <c r="D31" s="24"/>
      <c r="E31" s="24"/>
      <c r="F31" s="24"/>
      <c r="G31" s="24"/>
      <c r="H31" s="24"/>
      <c r="I31" s="24"/>
    </row>
    <row r="32" ht="14.5" customHeight="1">
      <c r="A32" s="9"/>
      <c r="B32" t="s" s="10">
        <v>28</v>
      </c>
      <c r="C32" s="11"/>
      <c r="D32" s="11"/>
      <c r="E32" s="11"/>
      <c r="F32" s="11"/>
      <c r="G32" s="11"/>
      <c r="H32" s="12"/>
      <c r="I32" s="13"/>
    </row>
    <row r="33" ht="16.5" customHeight="1">
      <c r="A33" s="9"/>
      <c r="B33" t="s" s="14">
        <v>7</v>
      </c>
      <c r="C33" t="s" s="15">
        <v>8</v>
      </c>
      <c r="D33" t="s" s="15">
        <v>9</v>
      </c>
      <c r="E33" t="s" s="15">
        <v>10</v>
      </c>
      <c r="F33" t="s" s="15">
        <v>11</v>
      </c>
      <c r="G33" t="s" s="15">
        <v>12</v>
      </c>
      <c r="H33" t="s" s="15">
        <v>13</v>
      </c>
      <c r="I33" t="s" s="15">
        <v>14</v>
      </c>
    </row>
    <row r="34" ht="16" customHeight="1">
      <c r="A34" s="16"/>
      <c r="B34" t="s" s="17">
        <v>15</v>
      </c>
      <c r="C34" s="18">
        <v>2</v>
      </c>
      <c r="D34" s="19"/>
      <c r="E34" s="19"/>
      <c r="F34" s="18">
        <v>5</v>
      </c>
      <c r="G34" s="18" cm="1">
        <f t="array" ref="G34">SUM(C34:F34)</f>
        <v>7</v>
      </c>
      <c r="H34" s="18" cm="1">
        <f t="array" ref="H34">G34+H19</f>
        <v>31</v>
      </c>
      <c r="I34" s="18">
        <v>2</v>
      </c>
    </row>
    <row r="35" ht="16" customHeight="1">
      <c r="A35" s="16"/>
      <c r="B35" t="s" s="17">
        <v>16</v>
      </c>
      <c r="C35" s="18">
        <v>2</v>
      </c>
      <c r="D35" s="19"/>
      <c r="E35" s="19"/>
      <c r="F35" s="19"/>
      <c r="G35" s="18" cm="1">
        <f t="array" ref="G35">SUM(C35:F35)</f>
        <v>2</v>
      </c>
      <c r="H35" s="18" cm="1">
        <f t="array" ref="H35">G35+H20</f>
        <v>16</v>
      </c>
      <c r="I35" s="18">
        <v>5</v>
      </c>
    </row>
    <row r="36" ht="16" customHeight="1">
      <c r="A36" s="16"/>
      <c r="B36" t="s" s="17">
        <v>17</v>
      </c>
      <c r="C36" s="18">
        <v>2</v>
      </c>
      <c r="D36" s="19"/>
      <c r="E36" s="18">
        <v>7.5</v>
      </c>
      <c r="F36" s="19"/>
      <c r="G36" s="18" cm="1">
        <f t="array" ref="G36">SUM(C36:F36)</f>
        <v>9.5</v>
      </c>
      <c r="H36" s="18" cm="1">
        <f t="array" ref="H36">G36+H21</f>
        <v>31</v>
      </c>
      <c r="I36" s="18">
        <v>2</v>
      </c>
    </row>
    <row r="37" ht="16" customHeight="1">
      <c r="A37" s="16"/>
      <c r="B37" t="s" s="17">
        <v>18</v>
      </c>
      <c r="C37" s="18">
        <v>2</v>
      </c>
      <c r="D37" s="19"/>
      <c r="E37" s="19"/>
      <c r="F37" s="19"/>
      <c r="G37" s="18" cm="1">
        <f t="array" ref="G37">SUM(C37:F37)</f>
        <v>2</v>
      </c>
      <c r="H37" s="18" cm="1">
        <f t="array" ref="H37">G37+H22</f>
        <v>11</v>
      </c>
      <c r="I37" s="18">
        <v>8</v>
      </c>
    </row>
    <row r="38" ht="16" customHeight="1">
      <c r="A38" s="16"/>
      <c r="B38" t="s" s="17">
        <v>19</v>
      </c>
      <c r="C38" s="18">
        <v>2</v>
      </c>
      <c r="D38" s="18">
        <v>10</v>
      </c>
      <c r="E38" s="19"/>
      <c r="F38" s="18">
        <v>5</v>
      </c>
      <c r="G38" s="18" cm="1">
        <f t="array" ref="G38">SUM(C38:F38)</f>
        <v>17</v>
      </c>
      <c r="H38" s="18" cm="1">
        <f t="array" ref="H38">G38+H23</f>
        <v>36</v>
      </c>
      <c r="I38" s="18">
        <v>1</v>
      </c>
    </row>
    <row r="39" ht="16" customHeight="1">
      <c r="A39" s="16"/>
      <c r="B39" t="s" s="17">
        <v>20</v>
      </c>
      <c r="C39" s="18">
        <v>2</v>
      </c>
      <c r="D39" s="18">
        <v>10</v>
      </c>
      <c r="E39" s="19"/>
      <c r="F39" s="19"/>
      <c r="G39" s="18" cm="1">
        <f t="array" ref="G39">SUM(C39:F39)</f>
        <v>12</v>
      </c>
      <c r="H39" s="18" cm="1">
        <f t="array" ref="H39">G39+H24</f>
        <v>31</v>
      </c>
      <c r="I39" s="18">
        <v>2</v>
      </c>
    </row>
    <row r="40" ht="16" customHeight="1">
      <c r="A40" s="16"/>
      <c r="B40" t="s" s="17">
        <v>21</v>
      </c>
      <c r="C40" s="18">
        <v>2</v>
      </c>
      <c r="D40" s="19"/>
      <c r="E40" s="19"/>
      <c r="F40" s="19"/>
      <c r="G40" s="18" cm="1">
        <f t="array" ref="G40">SUM(C40:F40)</f>
        <v>2</v>
      </c>
      <c r="H40" s="18" cm="1">
        <f t="array" ref="H40">G40+H25</f>
        <v>13.5</v>
      </c>
      <c r="I40" s="18">
        <v>6</v>
      </c>
    </row>
    <row r="41" ht="16" customHeight="1">
      <c r="A41" s="16"/>
      <c r="B41" t="s" s="17">
        <v>22</v>
      </c>
      <c r="C41" s="18">
        <v>0</v>
      </c>
      <c r="D41" s="19"/>
      <c r="E41" s="19"/>
      <c r="F41" s="19"/>
      <c r="G41" s="18" cm="1">
        <f t="array" ref="G41">SUM(C41:F41)</f>
        <v>0</v>
      </c>
      <c r="H41" s="18" cm="1">
        <f t="array" ref="H41">G41+H26</f>
        <v>0</v>
      </c>
      <c r="I41" s="18">
        <v>10</v>
      </c>
    </row>
    <row r="42" ht="16" customHeight="1">
      <c r="A42" s="16"/>
      <c r="B42" t="s" s="17">
        <v>23</v>
      </c>
      <c r="C42" s="18">
        <v>2</v>
      </c>
      <c r="D42" s="19"/>
      <c r="E42" s="18">
        <v>7.5</v>
      </c>
      <c r="F42" s="19"/>
      <c r="G42" s="18" cm="1">
        <f t="array" ref="G42">SUM(C42:F42)</f>
        <v>9.5</v>
      </c>
      <c r="H42" s="18" cm="1">
        <f t="array" ref="H42">G42+H27</f>
        <v>11.5</v>
      </c>
      <c r="I42" s="18">
        <v>7</v>
      </c>
    </row>
    <row r="43" ht="16" customHeight="1">
      <c r="A43" s="16"/>
      <c r="B43" t="s" s="17">
        <v>24</v>
      </c>
      <c r="C43" s="18">
        <v>0</v>
      </c>
      <c r="D43" s="19"/>
      <c r="E43" s="19"/>
      <c r="F43" s="19"/>
      <c r="G43" s="18" cm="1">
        <f t="array" ref="G43">SUM(C43:F43)</f>
        <v>0</v>
      </c>
      <c r="H43" s="18" cm="1">
        <f t="array" ref="H43">G43+H28</f>
        <v>0</v>
      </c>
      <c r="I43" s="18">
        <v>10</v>
      </c>
    </row>
    <row r="44" ht="16" customHeight="1">
      <c r="A44" s="16"/>
      <c r="B44" t="s" s="17">
        <v>25</v>
      </c>
      <c r="C44" s="20">
        <v>0</v>
      </c>
      <c r="D44" s="19"/>
      <c r="E44" s="19"/>
      <c r="F44" s="19"/>
      <c r="G44" s="18" cm="1">
        <f t="array" ref="G44">SUM(C44:F44)</f>
        <v>0</v>
      </c>
      <c r="H44" s="18" cm="1">
        <f t="array" ref="H44">G44+H29</f>
        <v>2</v>
      </c>
      <c r="I44" s="18">
        <v>9</v>
      </c>
    </row>
    <row r="45" ht="16" customHeight="1">
      <c r="A45" s="16"/>
      <c r="B45" t="s" s="21">
        <v>26</v>
      </c>
      <c r="C45" s="22" cm="1">
        <f t="array" ref="C45">SUM(C34:C44)</f>
        <v>16</v>
      </c>
      <c r="D45" s="22" cm="1">
        <f t="array" ref="D45">SUM(D34:D44)</f>
        <v>20</v>
      </c>
      <c r="E45" s="22" cm="1">
        <f t="array" ref="E45">SUM(E34:E44)</f>
        <v>15</v>
      </c>
      <c r="F45" s="22" cm="1">
        <f t="array" ref="F45">SUM(F34:F44)</f>
        <v>10</v>
      </c>
      <c r="G45" s="22" cm="1">
        <f t="array" ref="G45">SUM(G34:G44)</f>
        <v>61</v>
      </c>
      <c r="H45" s="22" cm="1">
        <f t="array" ref="H45">SUM(H34:H44)</f>
        <v>183</v>
      </c>
      <c r="I45" s="23"/>
    </row>
    <row r="46" ht="14.5" customHeight="1">
      <c r="A46" s="7"/>
      <c r="B46" s="24"/>
      <c r="C46" s="24"/>
      <c r="D46" s="24"/>
      <c r="E46" s="24"/>
      <c r="F46" s="24"/>
      <c r="G46" s="24"/>
      <c r="H46" s="24"/>
      <c r="I46" s="24"/>
    </row>
    <row r="47" ht="14.5" customHeight="1">
      <c r="A47" s="9"/>
      <c r="B47" t="s" s="10">
        <v>29</v>
      </c>
      <c r="C47" s="11"/>
      <c r="D47" s="11"/>
      <c r="E47" s="11"/>
      <c r="F47" s="11"/>
      <c r="G47" s="11"/>
      <c r="H47" s="12"/>
      <c r="I47" s="13"/>
    </row>
    <row r="48" ht="16.5" customHeight="1">
      <c r="A48" s="9"/>
      <c r="B48" t="s" s="14">
        <v>7</v>
      </c>
      <c r="C48" t="s" s="15">
        <v>8</v>
      </c>
      <c r="D48" t="s" s="15">
        <v>9</v>
      </c>
      <c r="E48" t="s" s="15">
        <v>10</v>
      </c>
      <c r="F48" t="s" s="15">
        <v>11</v>
      </c>
      <c r="G48" t="s" s="15">
        <v>12</v>
      </c>
      <c r="H48" t="s" s="15">
        <v>13</v>
      </c>
      <c r="I48" t="s" s="15">
        <v>14</v>
      </c>
    </row>
    <row r="49" ht="16" customHeight="1">
      <c r="A49" s="16"/>
      <c r="B49" t="s" s="17">
        <v>15</v>
      </c>
      <c r="C49" s="18">
        <v>2</v>
      </c>
      <c r="D49" s="19"/>
      <c r="E49" s="19"/>
      <c r="F49" s="19"/>
      <c r="G49" s="18" cm="1">
        <f t="array" ref="G49">SUM(C49:F49)</f>
        <v>2</v>
      </c>
      <c r="H49" s="18" cm="1">
        <f t="array" ref="H49">G49+H34</f>
        <v>33</v>
      </c>
      <c r="I49" s="18">
        <v>4</v>
      </c>
    </row>
    <row r="50" ht="16" customHeight="1">
      <c r="A50" s="16"/>
      <c r="B50" t="s" s="17">
        <v>16</v>
      </c>
      <c r="C50" s="18">
        <v>2</v>
      </c>
      <c r="D50" s="19"/>
      <c r="E50" s="19"/>
      <c r="F50" s="19"/>
      <c r="G50" s="18" cm="1">
        <f t="array" ref="G50">SUM(C50:F50)</f>
        <v>2</v>
      </c>
      <c r="H50" s="18" cm="1">
        <f t="array" ref="H50">G50+H35</f>
        <v>18</v>
      </c>
      <c r="I50" s="18">
        <v>7</v>
      </c>
    </row>
    <row r="51" ht="16" customHeight="1">
      <c r="A51" s="16"/>
      <c r="B51" t="s" s="17">
        <v>17</v>
      </c>
      <c r="C51" s="18">
        <v>2</v>
      </c>
      <c r="D51" s="18">
        <v>10</v>
      </c>
      <c r="E51" s="19"/>
      <c r="F51" s="18">
        <v>5</v>
      </c>
      <c r="G51" s="18" cm="1">
        <f t="array" ref="G51">SUM(C51:F51)</f>
        <v>17</v>
      </c>
      <c r="H51" s="18" cm="1">
        <f t="array" ref="H51">G51+H36</f>
        <v>48</v>
      </c>
      <c r="I51" s="18">
        <v>1</v>
      </c>
    </row>
    <row r="52" ht="16" customHeight="1">
      <c r="A52" s="16"/>
      <c r="B52" t="s" s="17">
        <v>18</v>
      </c>
      <c r="C52" s="18">
        <v>0</v>
      </c>
      <c r="D52" s="19"/>
      <c r="E52" s="19"/>
      <c r="F52" s="19"/>
      <c r="G52" s="18" cm="1">
        <f t="array" ref="G52">SUM(C52:F52)</f>
        <v>0</v>
      </c>
      <c r="H52" s="18" cm="1">
        <f t="array" ref="H52">G52+H37</f>
        <v>11</v>
      </c>
      <c r="I52" s="18">
        <v>8</v>
      </c>
    </row>
    <row r="53" ht="16" customHeight="1">
      <c r="A53" s="16"/>
      <c r="B53" t="s" s="17">
        <v>19</v>
      </c>
      <c r="C53" s="18">
        <v>2</v>
      </c>
      <c r="D53" s="19"/>
      <c r="E53" s="19"/>
      <c r="F53" s="19"/>
      <c r="G53" s="18" cm="1">
        <f t="array" ref="G53">SUM(C53:F53)</f>
        <v>2</v>
      </c>
      <c r="H53" s="18" cm="1">
        <f t="array" ref="H53">G53+H38</f>
        <v>38</v>
      </c>
      <c r="I53" s="18">
        <v>2</v>
      </c>
    </row>
    <row r="54" ht="16" customHeight="1">
      <c r="A54" s="16"/>
      <c r="B54" t="s" s="17">
        <v>20</v>
      </c>
      <c r="C54" s="18">
        <v>2</v>
      </c>
      <c r="D54" s="19"/>
      <c r="E54" s="19"/>
      <c r="F54" s="19"/>
      <c r="G54" s="18" cm="1">
        <f t="array" ref="G54">SUM(C54:F54)</f>
        <v>2</v>
      </c>
      <c r="H54" s="18" cm="1">
        <f t="array" ref="H54">G54+H39</f>
        <v>33</v>
      </c>
      <c r="I54" s="18">
        <v>4</v>
      </c>
    </row>
    <row r="55" ht="16" customHeight="1">
      <c r="A55" s="16"/>
      <c r="B55" t="s" s="17">
        <v>21</v>
      </c>
      <c r="C55" s="18">
        <v>2</v>
      </c>
      <c r="D55" s="19"/>
      <c r="E55" s="19"/>
      <c r="F55" s="18">
        <v>10</v>
      </c>
      <c r="G55" s="18" cm="1">
        <f t="array" ref="G55">SUM(C55:F55)</f>
        <v>12</v>
      </c>
      <c r="H55" s="18" cm="1">
        <f t="array" ref="H55">G55+H40</f>
        <v>25.5</v>
      </c>
      <c r="I55" s="18">
        <v>6</v>
      </c>
    </row>
    <row r="56" ht="16" customHeight="1">
      <c r="A56" s="16"/>
      <c r="B56" t="s" s="17">
        <v>22</v>
      </c>
      <c r="C56" s="18">
        <v>0</v>
      </c>
      <c r="D56" s="19"/>
      <c r="E56" s="19"/>
      <c r="F56" s="19"/>
      <c r="G56" s="18" cm="1">
        <f t="array" ref="G56">SUM(C56:F56)</f>
        <v>0</v>
      </c>
      <c r="H56" s="18" cm="1">
        <f t="array" ref="H56">G56+H41</f>
        <v>0</v>
      </c>
      <c r="I56" s="18">
        <v>10</v>
      </c>
    </row>
    <row r="57" ht="16" customHeight="1">
      <c r="A57" s="16"/>
      <c r="B57" t="s" s="17">
        <v>23</v>
      </c>
      <c r="C57" s="18">
        <v>2</v>
      </c>
      <c r="D57" s="18">
        <v>20</v>
      </c>
      <c r="E57" s="19"/>
      <c r="F57" s="19"/>
      <c r="G57" s="18" cm="1">
        <f t="array" ref="G57">SUM(C57:F57)</f>
        <v>22</v>
      </c>
      <c r="H57" s="18" cm="1">
        <f t="array" ref="H57">G57+H42</f>
        <v>33.5</v>
      </c>
      <c r="I57" s="18">
        <v>3</v>
      </c>
    </row>
    <row r="58" ht="16" customHeight="1">
      <c r="A58" s="16"/>
      <c r="B58" t="s" s="17">
        <v>24</v>
      </c>
      <c r="C58" s="18">
        <v>0</v>
      </c>
      <c r="D58" s="19"/>
      <c r="E58" s="19"/>
      <c r="F58" s="19"/>
      <c r="G58" s="18" cm="1">
        <f t="array" ref="G58">SUM(C58:F58)</f>
        <v>0</v>
      </c>
      <c r="H58" s="18" cm="1">
        <f t="array" ref="H58">G58+H43</f>
        <v>0</v>
      </c>
      <c r="I58" s="18">
        <v>10</v>
      </c>
    </row>
    <row r="59" ht="16" customHeight="1">
      <c r="A59" s="16"/>
      <c r="B59" t="s" s="17">
        <v>25</v>
      </c>
      <c r="C59" s="20">
        <v>2</v>
      </c>
      <c r="D59" s="19"/>
      <c r="E59" s="19"/>
      <c r="F59" s="19"/>
      <c r="G59" s="18" cm="1">
        <f t="array" ref="G59">SUM(C59:F59)</f>
        <v>2</v>
      </c>
      <c r="H59" s="18" cm="1">
        <f t="array" ref="H59">G59+H44</f>
        <v>4</v>
      </c>
      <c r="I59" s="18">
        <v>9</v>
      </c>
    </row>
    <row r="60" ht="16" customHeight="1">
      <c r="A60" s="16"/>
      <c r="B60" t="s" s="21">
        <v>26</v>
      </c>
      <c r="C60" s="22" cm="1">
        <f t="array" ref="C60">SUM(C49:C59)</f>
        <v>16</v>
      </c>
      <c r="D60" s="22" cm="1">
        <f t="array" ref="D60">SUM(D49:D59)</f>
        <v>30</v>
      </c>
      <c r="E60" s="22" cm="1">
        <f t="array" ref="E60">SUM(E49:E59)</f>
        <v>0</v>
      </c>
      <c r="F60" s="22" cm="1">
        <f t="array" ref="F60">SUM(F49:F59)</f>
        <v>15</v>
      </c>
      <c r="G60" s="22" cm="1">
        <f t="array" ref="G60">SUM(G49:G59)</f>
        <v>61</v>
      </c>
      <c r="H60" s="22" cm="1">
        <f t="array" ref="H60">SUM(H49:H59)</f>
        <v>244</v>
      </c>
      <c r="I60" s="23"/>
    </row>
    <row r="61" ht="14.5" customHeight="1">
      <c r="A61" s="7"/>
      <c r="B61" s="24"/>
      <c r="C61" s="24"/>
      <c r="D61" s="24"/>
      <c r="E61" s="24"/>
      <c r="F61" s="24"/>
      <c r="G61" s="24"/>
      <c r="H61" s="24"/>
      <c r="I61" s="24"/>
    </row>
    <row r="62" ht="14.5" customHeight="1">
      <c r="A62" s="9"/>
      <c r="B62" t="s" s="10">
        <v>30</v>
      </c>
      <c r="C62" s="11"/>
      <c r="D62" s="11"/>
      <c r="E62" s="11"/>
      <c r="F62" s="11"/>
      <c r="G62" s="11"/>
      <c r="H62" s="12"/>
      <c r="I62" s="13"/>
    </row>
    <row r="63" ht="16.5" customHeight="1">
      <c r="A63" s="9"/>
      <c r="B63" t="s" s="14">
        <v>7</v>
      </c>
      <c r="C63" t="s" s="15">
        <v>8</v>
      </c>
      <c r="D63" t="s" s="15">
        <v>9</v>
      </c>
      <c r="E63" t="s" s="15">
        <v>10</v>
      </c>
      <c r="F63" t="s" s="15">
        <v>11</v>
      </c>
      <c r="G63" t="s" s="15">
        <v>12</v>
      </c>
      <c r="H63" t="s" s="15">
        <v>13</v>
      </c>
      <c r="I63" t="s" s="15">
        <v>14</v>
      </c>
    </row>
    <row r="64" ht="16" customHeight="1">
      <c r="A64" s="16"/>
      <c r="B64" t="s" s="17">
        <v>15</v>
      </c>
      <c r="C64" s="18">
        <v>2</v>
      </c>
      <c r="D64" s="19"/>
      <c r="E64" s="19"/>
      <c r="F64" s="19"/>
      <c r="G64" s="18" cm="1">
        <f t="array" ref="G64">SUM(C64:F64)</f>
        <v>2</v>
      </c>
      <c r="H64" s="18" cm="1">
        <f t="array" ref="H64">G64+H49</f>
        <v>35</v>
      </c>
      <c r="I64" s="19"/>
    </row>
    <row r="65" ht="16" customHeight="1">
      <c r="A65" s="16"/>
      <c r="B65" t="s" s="17">
        <v>16</v>
      </c>
      <c r="C65" s="18">
        <v>0</v>
      </c>
      <c r="D65" s="19"/>
      <c r="E65" s="19"/>
      <c r="F65" s="19"/>
      <c r="G65" s="18" cm="1">
        <f t="array" ref="G65">SUM(C65:F65)</f>
        <v>0</v>
      </c>
      <c r="H65" s="18" cm="1">
        <f t="array" ref="H65">G65+H50</f>
        <v>18</v>
      </c>
      <c r="I65" s="19"/>
    </row>
    <row r="66" ht="16" customHeight="1">
      <c r="A66" s="16"/>
      <c r="B66" t="s" s="17">
        <v>17</v>
      </c>
      <c r="C66" s="18">
        <v>2</v>
      </c>
      <c r="D66" s="19"/>
      <c r="E66" s="19"/>
      <c r="F66" s="19"/>
      <c r="G66" s="18" cm="1">
        <f t="array" ref="G66">SUM(C66:F66)</f>
        <v>2</v>
      </c>
      <c r="H66" s="18" cm="1">
        <f t="array" ref="H66">G66+H51</f>
        <v>50</v>
      </c>
      <c r="I66" s="19"/>
    </row>
    <row r="67" ht="16" customHeight="1">
      <c r="A67" s="16"/>
      <c r="B67" t="s" s="17">
        <v>18</v>
      </c>
      <c r="C67" s="18">
        <v>2</v>
      </c>
      <c r="D67" s="19"/>
      <c r="E67" s="19"/>
      <c r="F67" s="19"/>
      <c r="G67" s="18" cm="1">
        <f t="array" ref="G67">SUM(C67:F67)</f>
        <v>2</v>
      </c>
      <c r="H67" s="18" cm="1">
        <f t="array" ref="H67">G67+H52</f>
        <v>13</v>
      </c>
      <c r="I67" s="19"/>
    </row>
    <row r="68" ht="16" customHeight="1">
      <c r="A68" s="16"/>
      <c r="B68" t="s" s="17">
        <v>19</v>
      </c>
      <c r="C68" s="18">
        <v>2</v>
      </c>
      <c r="D68" s="18">
        <v>10</v>
      </c>
      <c r="E68" s="19"/>
      <c r="F68" s="19"/>
      <c r="G68" s="18" cm="1">
        <f t="array" ref="G68">SUM(C68:F68)</f>
        <v>12</v>
      </c>
      <c r="H68" s="18" cm="1">
        <f t="array" ref="H68">G68+H53</f>
        <v>50</v>
      </c>
      <c r="I68" s="19"/>
    </row>
    <row r="69" ht="16" customHeight="1">
      <c r="A69" s="16"/>
      <c r="B69" t="s" s="17">
        <v>20</v>
      </c>
      <c r="C69" s="18">
        <v>2</v>
      </c>
      <c r="D69" s="18">
        <v>10</v>
      </c>
      <c r="E69" t="s" s="17">
        <v>31</v>
      </c>
      <c r="F69" s="18">
        <v>10</v>
      </c>
      <c r="G69" s="18" cm="1">
        <f t="array" ref="G69">SUM(C69:F69)</f>
        <v>22</v>
      </c>
      <c r="H69" s="18" cm="1">
        <f t="array" ref="H69">G69+H54</f>
        <v>55</v>
      </c>
      <c r="I69" s="19"/>
    </row>
    <row r="70" ht="16" customHeight="1">
      <c r="A70" s="16"/>
      <c r="B70" t="s" s="17">
        <v>21</v>
      </c>
      <c r="C70" s="18">
        <v>2</v>
      </c>
      <c r="D70" s="18">
        <v>10</v>
      </c>
      <c r="E70" s="19"/>
      <c r="F70" s="19"/>
      <c r="G70" s="18" cm="1">
        <f t="array" ref="G70">SUM(C70:F70)</f>
        <v>12</v>
      </c>
      <c r="H70" s="18" cm="1">
        <f t="array" ref="H70">G70+H55</f>
        <v>37.5</v>
      </c>
      <c r="I70" s="19"/>
    </row>
    <row r="71" ht="16" customHeight="1">
      <c r="A71" s="16"/>
      <c r="B71" t="s" s="17">
        <v>22</v>
      </c>
      <c r="C71" s="18">
        <v>0</v>
      </c>
      <c r="D71" s="19"/>
      <c r="E71" s="19"/>
      <c r="F71" s="19"/>
      <c r="G71" s="18" cm="1">
        <f t="array" ref="G71">SUM(C71:F71)</f>
        <v>0</v>
      </c>
      <c r="H71" s="18" cm="1">
        <f t="array" ref="H71">G71+H56</f>
        <v>0</v>
      </c>
      <c r="I71" s="19"/>
    </row>
    <row r="72" ht="16" customHeight="1">
      <c r="A72" s="16"/>
      <c r="B72" t="s" s="17">
        <v>23</v>
      </c>
      <c r="C72" s="18">
        <v>2</v>
      </c>
      <c r="D72" s="19"/>
      <c r="E72" s="19"/>
      <c r="F72" s="18">
        <v>5</v>
      </c>
      <c r="G72" s="18" cm="1">
        <f t="array" ref="G72">SUM(C72:F72)</f>
        <v>7</v>
      </c>
      <c r="H72" s="18" cm="1">
        <f t="array" ref="H72">G72+H57</f>
        <v>40.5</v>
      </c>
      <c r="I72" s="19"/>
    </row>
    <row r="73" ht="16" customHeight="1">
      <c r="A73" s="16"/>
      <c r="B73" t="s" s="17">
        <v>24</v>
      </c>
      <c r="C73" s="18">
        <v>0</v>
      </c>
      <c r="D73" s="19"/>
      <c r="E73" s="19"/>
      <c r="F73" s="19"/>
      <c r="G73" s="18" cm="1">
        <f t="array" ref="G73">SUM(C73:F73)</f>
        <v>0</v>
      </c>
      <c r="H73" s="18" cm="1">
        <f t="array" ref="H73">G73+H58</f>
        <v>0</v>
      </c>
      <c r="I73" s="19"/>
    </row>
    <row r="74" ht="16" customHeight="1">
      <c r="A74" s="16"/>
      <c r="B74" t="s" s="17">
        <v>25</v>
      </c>
      <c r="C74" s="20">
        <v>0</v>
      </c>
      <c r="D74" s="19"/>
      <c r="E74" s="19"/>
      <c r="F74" s="19"/>
      <c r="G74" s="18" cm="1">
        <f t="array" ref="G74">SUM(C74:F74)</f>
        <v>0</v>
      </c>
      <c r="H74" s="18" cm="1">
        <f t="array" ref="H74">G74+H59</f>
        <v>4</v>
      </c>
      <c r="I74" s="19"/>
    </row>
    <row r="75" ht="16" customHeight="1">
      <c r="A75" s="16"/>
      <c r="B75" t="s" s="21">
        <v>26</v>
      </c>
      <c r="C75" s="22" cm="1">
        <f t="array" ref="C75">SUM(C64:C74)</f>
        <v>14</v>
      </c>
      <c r="D75" s="22" cm="1">
        <f t="array" ref="D75">SUM(D64:D74)</f>
        <v>30</v>
      </c>
      <c r="E75" s="22" cm="1">
        <f t="array" ref="E75">SUM(E64:E74)</f>
        <v>0</v>
      </c>
      <c r="F75" s="22" cm="1">
        <f t="array" ref="F75">SUM(F64:F74)</f>
        <v>15</v>
      </c>
      <c r="G75" s="22" cm="1">
        <f t="array" ref="G75">SUM(G64:G74)</f>
        <v>59</v>
      </c>
      <c r="H75" s="22" cm="1">
        <f t="array" ref="H75">SUM(H64:H74)</f>
        <v>303</v>
      </c>
      <c r="I75" s="23"/>
    </row>
    <row r="76" ht="16" customHeight="1">
      <c r="A76" s="7"/>
      <c r="B76" s="25"/>
      <c r="C76" s="25"/>
      <c r="D76" s="25"/>
      <c r="E76" s="25"/>
      <c r="F76" s="25"/>
      <c r="G76" s="25"/>
      <c r="H76" s="25"/>
      <c r="I76" s="25"/>
    </row>
    <row r="77" ht="16" customHeight="1">
      <c r="A77" s="7"/>
      <c r="B77" t="s" s="26">
        <v>32</v>
      </c>
      <c r="C77" s="27"/>
      <c r="D77" s="27"/>
      <c r="E77" s="27"/>
      <c r="F77" s="27"/>
      <c r="G77" s="27"/>
      <c r="H77" s="27"/>
      <c r="I77" s="27"/>
    </row>
    <row r="78" ht="16" customHeight="1">
      <c r="A78" s="7"/>
      <c r="B78" s="27"/>
      <c r="C78" s="27"/>
      <c r="D78" s="27"/>
      <c r="E78" s="27"/>
      <c r="F78" s="27"/>
      <c r="G78" s="27"/>
      <c r="H78" s="27"/>
      <c r="I78" s="27"/>
    </row>
  </sheetData>
  <mergeCells count="6">
    <mergeCell ref="B77:I78"/>
    <mergeCell ref="B2:I2"/>
    <mergeCell ref="B17:I17"/>
    <mergeCell ref="B32:I32"/>
    <mergeCell ref="B47:I47"/>
    <mergeCell ref="B62:I6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I67"/>
  <sheetViews>
    <sheetView workbookViewId="0" showGridLines="0" defaultGridColor="1"/>
  </sheetViews>
  <sheetFormatPr defaultColWidth="8.83333" defaultRowHeight="14.5" customHeight="1" outlineLevelRow="0" outlineLevelCol="0"/>
  <cols>
    <col min="1" max="1" width="1.67188" style="28" customWidth="1"/>
    <col min="2" max="9" width="20.6719" style="28" customWidth="1"/>
    <col min="10" max="16384" width="8.85156" style="28" customWidth="1"/>
  </cols>
  <sheetData>
    <row r="1" ht="15" customHeight="1">
      <c r="A1" s="29"/>
      <c r="B1" s="30"/>
      <c r="C1" s="30"/>
      <c r="D1" s="30"/>
      <c r="E1" s="30"/>
      <c r="F1" s="30"/>
      <c r="G1" s="30"/>
      <c r="H1" s="30"/>
      <c r="I1" s="30"/>
    </row>
    <row r="2" ht="15" customHeight="1">
      <c r="A2" s="31"/>
      <c r="B2" t="s" s="10">
        <v>34</v>
      </c>
      <c r="C2" s="11"/>
      <c r="D2" s="11"/>
      <c r="E2" s="11"/>
      <c r="F2" s="11"/>
      <c r="G2" s="11"/>
      <c r="H2" s="11"/>
      <c r="I2" s="32"/>
    </row>
    <row r="3" ht="15" customHeight="1">
      <c r="A3" s="29"/>
      <c r="B3" s="33"/>
      <c r="C3" s="33"/>
      <c r="D3" s="33"/>
      <c r="E3" s="33"/>
      <c r="F3" s="33"/>
      <c r="G3" s="33"/>
      <c r="H3" s="33"/>
      <c r="I3" s="33"/>
    </row>
    <row r="4" ht="15" customHeight="1">
      <c r="A4" s="31"/>
      <c r="B4" t="s" s="10">
        <v>35</v>
      </c>
      <c r="C4" s="11"/>
      <c r="D4" s="11"/>
      <c r="E4" s="11"/>
      <c r="F4" s="11"/>
      <c r="G4" s="11"/>
      <c r="H4" s="11"/>
      <c r="I4" s="32"/>
    </row>
    <row r="5" ht="15" customHeight="1">
      <c r="A5" s="29"/>
      <c r="B5" s="33"/>
      <c r="C5" s="33"/>
      <c r="D5" s="33"/>
      <c r="E5" s="33"/>
      <c r="F5" s="33"/>
      <c r="G5" s="33"/>
      <c r="H5" s="33"/>
      <c r="I5" s="33"/>
    </row>
    <row r="6" ht="15" customHeight="1">
      <c r="A6" s="31"/>
      <c r="B6" t="s" s="10">
        <v>36</v>
      </c>
      <c r="C6" s="11"/>
      <c r="D6" s="11"/>
      <c r="E6" s="11"/>
      <c r="F6" s="11"/>
      <c r="G6" s="11"/>
      <c r="H6" s="11"/>
      <c r="I6" s="32"/>
    </row>
    <row r="7" ht="15" customHeight="1">
      <c r="A7" s="31"/>
      <c r="B7" t="s" s="14">
        <v>7</v>
      </c>
      <c r="C7" t="s" s="15">
        <v>8</v>
      </c>
      <c r="D7" t="s" s="15">
        <v>9</v>
      </c>
      <c r="E7" t="s" s="15">
        <v>10</v>
      </c>
      <c r="F7" t="s" s="15">
        <v>11</v>
      </c>
      <c r="G7" t="s" s="15">
        <v>12</v>
      </c>
      <c r="H7" t="s" s="15">
        <v>13</v>
      </c>
      <c r="I7" t="s" s="15">
        <v>14</v>
      </c>
    </row>
    <row r="8" ht="14.5" customHeight="1">
      <c r="A8" s="34"/>
      <c r="B8" t="s" s="35">
        <v>19</v>
      </c>
      <c r="C8" s="36">
        <v>2</v>
      </c>
      <c r="D8" s="36">
        <v>20</v>
      </c>
      <c r="E8" s="37"/>
      <c r="F8" s="37"/>
      <c r="G8" s="36">
        <v>22</v>
      </c>
      <c r="H8" s="36">
        <v>22</v>
      </c>
      <c r="I8" s="36">
        <v>1</v>
      </c>
    </row>
    <row r="9" ht="14.5" customHeight="1">
      <c r="A9" s="34"/>
      <c r="B9" t="s" s="35">
        <v>17</v>
      </c>
      <c r="C9" s="36">
        <v>2</v>
      </c>
      <c r="D9" s="36">
        <v>10</v>
      </c>
      <c r="E9" s="37"/>
      <c r="F9" s="36">
        <v>5</v>
      </c>
      <c r="G9" s="36">
        <v>17</v>
      </c>
      <c r="H9" s="36">
        <v>17</v>
      </c>
      <c r="I9" s="36">
        <v>2</v>
      </c>
    </row>
    <row r="10" ht="14.5" customHeight="1">
      <c r="A10" s="34"/>
      <c r="B10" t="s" s="35">
        <v>16</v>
      </c>
      <c r="C10" s="36">
        <v>2</v>
      </c>
      <c r="D10" s="37"/>
      <c r="E10" s="37"/>
      <c r="F10" s="36">
        <v>5</v>
      </c>
      <c r="G10" s="36">
        <v>7</v>
      </c>
      <c r="H10" s="36">
        <v>7</v>
      </c>
      <c r="I10" s="36">
        <v>3</v>
      </c>
    </row>
    <row r="11" ht="14.5" customHeight="1">
      <c r="A11" s="34"/>
      <c r="B11" t="s" s="35">
        <v>21</v>
      </c>
      <c r="C11" s="36">
        <v>2</v>
      </c>
      <c r="D11" s="37"/>
      <c r="E11" s="37"/>
      <c r="F11" s="36">
        <v>5</v>
      </c>
      <c r="G11" s="36">
        <v>7</v>
      </c>
      <c r="H11" s="36">
        <v>7</v>
      </c>
      <c r="I11" s="36">
        <v>3</v>
      </c>
    </row>
    <row r="12" ht="14.5" customHeight="1">
      <c r="A12" s="34"/>
      <c r="B12" t="s" s="35">
        <v>18</v>
      </c>
      <c r="C12" s="36">
        <v>2</v>
      </c>
      <c r="D12" s="37"/>
      <c r="E12" s="37"/>
      <c r="F12" s="37"/>
      <c r="G12" s="36">
        <v>2</v>
      </c>
      <c r="H12" s="36">
        <v>2</v>
      </c>
      <c r="I12" s="36">
        <v>5</v>
      </c>
    </row>
    <row r="13" ht="14.5" customHeight="1">
      <c r="A13" s="34"/>
      <c r="B13" t="s" s="35">
        <v>23</v>
      </c>
      <c r="C13" s="36">
        <v>2</v>
      </c>
      <c r="D13" s="37"/>
      <c r="E13" s="37"/>
      <c r="F13" s="37"/>
      <c r="G13" s="36">
        <v>2</v>
      </c>
      <c r="H13" s="36">
        <v>2</v>
      </c>
      <c r="I13" s="36">
        <v>5</v>
      </c>
    </row>
    <row r="14" ht="14.5" customHeight="1">
      <c r="A14" s="34"/>
      <c r="B14" t="s" s="35">
        <v>20</v>
      </c>
      <c r="C14" s="36">
        <v>2</v>
      </c>
      <c r="D14" s="37"/>
      <c r="E14" s="37"/>
      <c r="F14" s="37"/>
      <c r="G14" s="36">
        <v>2</v>
      </c>
      <c r="H14" s="36">
        <v>2</v>
      </c>
      <c r="I14" s="36">
        <v>5</v>
      </c>
    </row>
    <row r="15" ht="14.5" customHeight="1">
      <c r="A15" s="34"/>
      <c r="B15" t="s" s="35">
        <v>15</v>
      </c>
      <c r="C15" s="36">
        <v>2</v>
      </c>
      <c r="D15" s="37"/>
      <c r="E15" s="37"/>
      <c r="F15" s="37"/>
      <c r="G15" s="36">
        <v>2</v>
      </c>
      <c r="H15" s="36">
        <v>2</v>
      </c>
      <c r="I15" s="36">
        <v>5</v>
      </c>
    </row>
    <row r="16" ht="14.5" customHeight="1">
      <c r="A16" s="34"/>
      <c r="B16" t="s" s="35">
        <v>25</v>
      </c>
      <c r="C16" s="36">
        <v>0</v>
      </c>
      <c r="D16" s="37"/>
      <c r="E16" s="37"/>
      <c r="F16" s="37"/>
      <c r="G16" s="36">
        <v>0</v>
      </c>
      <c r="H16" s="36">
        <v>0</v>
      </c>
      <c r="I16" s="36">
        <v>9</v>
      </c>
    </row>
    <row r="17" ht="14.5" customHeight="1">
      <c r="A17" s="34"/>
      <c r="B17" t="s" s="35">
        <v>24</v>
      </c>
      <c r="C17" s="36">
        <v>0</v>
      </c>
      <c r="D17" s="37"/>
      <c r="E17" s="37"/>
      <c r="F17" s="37"/>
      <c r="G17" s="36">
        <v>0</v>
      </c>
      <c r="H17" s="36">
        <v>0</v>
      </c>
      <c r="I17" s="36">
        <v>9</v>
      </c>
    </row>
    <row r="18" ht="14.5" customHeight="1">
      <c r="A18" s="34"/>
      <c r="B18" t="s" s="35">
        <v>22</v>
      </c>
      <c r="C18" s="38">
        <v>0</v>
      </c>
      <c r="D18" s="37"/>
      <c r="E18" s="37"/>
      <c r="F18" s="37"/>
      <c r="G18" s="36">
        <v>0</v>
      </c>
      <c r="H18" s="36">
        <v>0</v>
      </c>
      <c r="I18" s="36">
        <v>9</v>
      </c>
    </row>
    <row r="19" ht="14.5" customHeight="1">
      <c r="A19" s="34"/>
      <c r="B19" t="s" s="21">
        <v>26</v>
      </c>
      <c r="C19" s="22">
        <v>16</v>
      </c>
      <c r="D19" s="22">
        <v>30</v>
      </c>
      <c r="E19" s="22">
        <v>0</v>
      </c>
      <c r="F19" s="22">
        <v>15</v>
      </c>
      <c r="G19" s="22">
        <v>61</v>
      </c>
      <c r="H19" s="22">
        <v>61</v>
      </c>
      <c r="I19" s="23"/>
    </row>
    <row r="20" ht="15" customHeight="1">
      <c r="A20" s="29"/>
      <c r="B20" s="39"/>
      <c r="C20" s="39"/>
      <c r="D20" s="39"/>
      <c r="E20" s="39"/>
      <c r="F20" s="39"/>
      <c r="G20" s="39"/>
      <c r="H20" s="39"/>
      <c r="I20" s="39"/>
    </row>
    <row r="21" ht="15" customHeight="1">
      <c r="A21" s="31"/>
      <c r="B21" t="s" s="10">
        <v>37</v>
      </c>
      <c r="C21" s="11"/>
      <c r="D21" s="11"/>
      <c r="E21" s="11"/>
      <c r="F21" s="11"/>
      <c r="G21" s="11"/>
      <c r="H21" s="11"/>
      <c r="I21" s="32"/>
    </row>
    <row r="22" ht="15" customHeight="1">
      <c r="A22" s="31"/>
      <c r="B22" t="s" s="14">
        <v>7</v>
      </c>
      <c r="C22" t="s" s="15">
        <v>8</v>
      </c>
      <c r="D22" t="s" s="15">
        <v>9</v>
      </c>
      <c r="E22" t="s" s="15">
        <v>10</v>
      </c>
      <c r="F22" t="s" s="15">
        <v>11</v>
      </c>
      <c r="G22" t="s" s="15">
        <v>12</v>
      </c>
      <c r="H22" t="s" s="15">
        <v>13</v>
      </c>
      <c r="I22" t="s" s="15">
        <v>14</v>
      </c>
    </row>
    <row r="23" ht="14.5" customHeight="1">
      <c r="A23" s="34"/>
      <c r="B23" t="s" s="35">
        <v>19</v>
      </c>
      <c r="C23" s="36">
        <v>2</v>
      </c>
      <c r="D23" s="37"/>
      <c r="E23" s="37"/>
      <c r="F23" s="37"/>
      <c r="G23" s="36">
        <v>2</v>
      </c>
      <c r="H23" s="36">
        <v>24</v>
      </c>
      <c r="I23" s="36">
        <v>1</v>
      </c>
    </row>
    <row r="24" ht="14.5" customHeight="1">
      <c r="A24" s="34"/>
      <c r="B24" t="s" s="35">
        <v>21</v>
      </c>
      <c r="C24" s="36">
        <v>2</v>
      </c>
      <c r="D24" s="36">
        <v>10</v>
      </c>
      <c r="E24" s="37"/>
      <c r="F24" s="36">
        <v>5</v>
      </c>
      <c r="G24" s="36">
        <v>17</v>
      </c>
      <c r="H24" s="36">
        <v>24</v>
      </c>
      <c r="I24" s="36">
        <v>1</v>
      </c>
    </row>
    <row r="25" ht="14.5" customHeight="1">
      <c r="A25" s="34"/>
      <c r="B25" t="s" s="35">
        <v>17</v>
      </c>
      <c r="C25" s="36">
        <v>2</v>
      </c>
      <c r="D25" s="37"/>
      <c r="E25" s="37"/>
      <c r="F25" s="37"/>
      <c r="G25" s="36">
        <v>2</v>
      </c>
      <c r="H25" s="36">
        <v>19</v>
      </c>
      <c r="I25" s="36">
        <v>3</v>
      </c>
    </row>
    <row r="26" ht="14.5" customHeight="1">
      <c r="A26" s="34"/>
      <c r="B26" t="s" s="35">
        <v>20</v>
      </c>
      <c r="C26" s="36">
        <v>2</v>
      </c>
      <c r="D26" s="36">
        <v>10</v>
      </c>
      <c r="E26" s="37"/>
      <c r="F26" s="37"/>
      <c r="G26" s="36">
        <v>12</v>
      </c>
      <c r="H26" s="36">
        <v>14</v>
      </c>
      <c r="I26" s="36">
        <v>4</v>
      </c>
    </row>
    <row r="27" ht="14.5" customHeight="1">
      <c r="A27" s="34"/>
      <c r="B27" t="s" s="35">
        <v>16</v>
      </c>
      <c r="C27" s="36">
        <v>2</v>
      </c>
      <c r="D27" s="37"/>
      <c r="E27" s="37"/>
      <c r="F27" s="37"/>
      <c r="G27" s="36">
        <v>2</v>
      </c>
      <c r="H27" s="36">
        <v>9</v>
      </c>
      <c r="I27" s="36">
        <v>5</v>
      </c>
    </row>
    <row r="28" ht="14.5" customHeight="1">
      <c r="A28" s="34"/>
      <c r="B28" t="s" s="35">
        <v>23</v>
      </c>
      <c r="C28" s="36">
        <v>2</v>
      </c>
      <c r="D28" s="37"/>
      <c r="E28" s="37"/>
      <c r="F28" s="36">
        <v>5</v>
      </c>
      <c r="G28" s="36">
        <v>7</v>
      </c>
      <c r="H28" s="36">
        <v>9</v>
      </c>
      <c r="I28" s="36">
        <v>5</v>
      </c>
    </row>
    <row r="29" ht="14.5" customHeight="1">
      <c r="A29" s="34"/>
      <c r="B29" t="s" s="35">
        <v>18</v>
      </c>
      <c r="C29" s="36">
        <v>2</v>
      </c>
      <c r="D29" s="37"/>
      <c r="E29" s="37"/>
      <c r="F29" s="37"/>
      <c r="G29" s="36">
        <v>2</v>
      </c>
      <c r="H29" s="36">
        <v>4</v>
      </c>
      <c r="I29" s="36">
        <v>7</v>
      </c>
    </row>
    <row r="30" ht="14.5" customHeight="1">
      <c r="A30" s="34"/>
      <c r="B30" t="s" s="35">
        <v>15</v>
      </c>
      <c r="C30" s="36">
        <v>2</v>
      </c>
      <c r="D30" s="37"/>
      <c r="E30" s="37"/>
      <c r="F30" s="37"/>
      <c r="G30" s="36">
        <v>2</v>
      </c>
      <c r="H30" s="36">
        <v>4</v>
      </c>
      <c r="I30" s="36">
        <v>7</v>
      </c>
    </row>
    <row r="31" ht="14.5" customHeight="1">
      <c r="A31" s="34"/>
      <c r="B31" t="s" s="35">
        <v>25</v>
      </c>
      <c r="C31" s="36">
        <v>2</v>
      </c>
      <c r="D31" s="37"/>
      <c r="E31" s="37"/>
      <c r="F31" s="37"/>
      <c r="G31" s="36">
        <v>2</v>
      </c>
      <c r="H31" s="36">
        <v>2</v>
      </c>
      <c r="I31" s="36">
        <v>9</v>
      </c>
    </row>
    <row r="32" ht="14.5" customHeight="1">
      <c r="A32" s="34"/>
      <c r="B32" t="s" s="35">
        <v>24</v>
      </c>
      <c r="C32" s="36">
        <v>0</v>
      </c>
      <c r="D32" s="37"/>
      <c r="E32" s="37"/>
      <c r="F32" s="37"/>
      <c r="G32" s="36">
        <v>0</v>
      </c>
      <c r="H32" s="36">
        <v>0</v>
      </c>
      <c r="I32" s="36">
        <v>10</v>
      </c>
    </row>
    <row r="33" ht="14.5" customHeight="1">
      <c r="A33" s="34"/>
      <c r="B33" t="s" s="35">
        <v>22</v>
      </c>
      <c r="C33" s="38">
        <v>0</v>
      </c>
      <c r="D33" s="37"/>
      <c r="E33" s="37"/>
      <c r="F33" s="37"/>
      <c r="G33" s="36">
        <v>0</v>
      </c>
      <c r="H33" s="36">
        <v>0</v>
      </c>
      <c r="I33" s="36">
        <v>10</v>
      </c>
    </row>
    <row r="34" ht="14.5" customHeight="1">
      <c r="A34" s="34"/>
      <c r="B34" t="s" s="21">
        <v>26</v>
      </c>
      <c r="C34" s="22">
        <v>18</v>
      </c>
      <c r="D34" s="22">
        <v>20</v>
      </c>
      <c r="E34" s="22">
        <v>0</v>
      </c>
      <c r="F34" s="22">
        <v>10</v>
      </c>
      <c r="G34" s="22">
        <v>48</v>
      </c>
      <c r="H34" s="22">
        <v>109</v>
      </c>
      <c r="I34" s="23"/>
    </row>
    <row r="35" ht="15" customHeight="1">
      <c r="A35" s="29"/>
      <c r="B35" s="39"/>
      <c r="C35" s="39"/>
      <c r="D35" s="39"/>
      <c r="E35" s="39"/>
      <c r="F35" s="39"/>
      <c r="G35" s="39"/>
      <c r="H35" s="39"/>
      <c r="I35" s="39"/>
    </row>
    <row r="36" ht="15" customHeight="1">
      <c r="A36" s="31"/>
      <c r="B36" t="s" s="10">
        <v>38</v>
      </c>
      <c r="C36" s="11"/>
      <c r="D36" s="11"/>
      <c r="E36" s="11"/>
      <c r="F36" s="11"/>
      <c r="G36" s="11"/>
      <c r="H36" s="11"/>
      <c r="I36" s="32"/>
    </row>
    <row r="37" ht="15" customHeight="1">
      <c r="A37" s="31"/>
      <c r="B37" t="s" s="14">
        <v>7</v>
      </c>
      <c r="C37" t="s" s="15">
        <v>8</v>
      </c>
      <c r="D37" t="s" s="15">
        <v>9</v>
      </c>
      <c r="E37" t="s" s="15">
        <v>10</v>
      </c>
      <c r="F37" t="s" s="15">
        <v>11</v>
      </c>
      <c r="G37" t="s" s="15">
        <v>12</v>
      </c>
      <c r="H37" t="s" s="15">
        <v>13</v>
      </c>
      <c r="I37" t="s" s="15">
        <v>14</v>
      </c>
    </row>
    <row r="38" ht="14.5" customHeight="1">
      <c r="A38" s="34"/>
      <c r="B38" t="s" s="35">
        <v>19</v>
      </c>
      <c r="C38" s="36">
        <v>2</v>
      </c>
      <c r="D38" s="37"/>
      <c r="E38" s="37"/>
      <c r="F38" s="37"/>
      <c r="G38" s="36">
        <v>2</v>
      </c>
      <c r="H38" s="36">
        <v>26</v>
      </c>
      <c r="I38" s="36">
        <v>2</v>
      </c>
    </row>
    <row r="39" ht="14.5" customHeight="1">
      <c r="A39" s="34"/>
      <c r="B39" t="s" s="35">
        <v>21</v>
      </c>
      <c r="C39" s="36">
        <v>2</v>
      </c>
      <c r="D39" s="36">
        <v>20</v>
      </c>
      <c r="E39" s="36">
        <v>7.5</v>
      </c>
      <c r="F39" s="37"/>
      <c r="G39" s="36">
        <v>29.5</v>
      </c>
      <c r="H39" s="36">
        <v>53.5</v>
      </c>
      <c r="I39" s="36">
        <v>1</v>
      </c>
    </row>
    <row r="40" ht="14.5" customHeight="1">
      <c r="A40" s="34"/>
      <c r="B40" t="s" s="35">
        <v>17</v>
      </c>
      <c r="C40" s="36">
        <v>2</v>
      </c>
      <c r="D40" s="37"/>
      <c r="E40" s="37"/>
      <c r="F40" s="37"/>
      <c r="G40" s="36">
        <v>2</v>
      </c>
      <c r="H40" s="36">
        <v>21</v>
      </c>
      <c r="I40" s="36">
        <v>3</v>
      </c>
    </row>
    <row r="41" ht="14.5" customHeight="1">
      <c r="A41" s="34"/>
      <c r="B41" t="s" s="35">
        <v>20</v>
      </c>
      <c r="C41" s="36">
        <v>2</v>
      </c>
      <c r="D41" s="37"/>
      <c r="E41" s="37"/>
      <c r="F41" s="36">
        <v>5</v>
      </c>
      <c r="G41" s="36">
        <v>7</v>
      </c>
      <c r="H41" s="36">
        <v>21</v>
      </c>
      <c r="I41" s="36">
        <v>3</v>
      </c>
    </row>
    <row r="42" ht="14.5" customHeight="1">
      <c r="A42" s="34"/>
      <c r="B42" t="s" s="35">
        <v>16</v>
      </c>
      <c r="C42" s="36">
        <v>2</v>
      </c>
      <c r="D42" s="37"/>
      <c r="E42" s="36">
        <v>7.5</v>
      </c>
      <c r="F42" s="37"/>
      <c r="G42" s="36">
        <v>9.5</v>
      </c>
      <c r="H42" s="36">
        <v>18.5</v>
      </c>
      <c r="I42" s="36">
        <v>5</v>
      </c>
    </row>
    <row r="43" ht="14.5" customHeight="1">
      <c r="A43" s="34"/>
      <c r="B43" t="s" s="35">
        <v>23</v>
      </c>
      <c r="C43" s="36">
        <v>2</v>
      </c>
      <c r="D43" s="37"/>
      <c r="E43" s="37"/>
      <c r="F43" s="37"/>
      <c r="G43" s="36">
        <v>2</v>
      </c>
      <c r="H43" s="36">
        <v>11</v>
      </c>
      <c r="I43" s="36">
        <v>6</v>
      </c>
    </row>
    <row r="44" ht="14.5" customHeight="1">
      <c r="A44" s="34"/>
      <c r="B44" t="s" s="35">
        <v>18</v>
      </c>
      <c r="C44" s="36">
        <v>2</v>
      </c>
      <c r="D44" s="37"/>
      <c r="E44" s="37"/>
      <c r="F44" s="36">
        <v>5</v>
      </c>
      <c r="G44" s="36">
        <v>7</v>
      </c>
      <c r="H44" s="36">
        <v>11</v>
      </c>
      <c r="I44" s="36">
        <v>6</v>
      </c>
    </row>
    <row r="45" ht="14.5" customHeight="1">
      <c r="A45" s="34"/>
      <c r="B45" t="s" s="35">
        <v>15</v>
      </c>
      <c r="C45" s="36">
        <v>2</v>
      </c>
      <c r="D45" s="37"/>
      <c r="E45" s="37"/>
      <c r="F45" s="37"/>
      <c r="G45" s="36">
        <v>2</v>
      </c>
      <c r="H45" s="36">
        <v>6</v>
      </c>
      <c r="I45" s="36">
        <v>8</v>
      </c>
    </row>
    <row r="46" ht="14.5" customHeight="1">
      <c r="A46" s="34"/>
      <c r="B46" t="s" s="35">
        <v>25</v>
      </c>
      <c r="C46" s="36">
        <v>2</v>
      </c>
      <c r="D46" s="37"/>
      <c r="E46" s="37"/>
      <c r="F46" s="37"/>
      <c r="G46" s="36">
        <v>2</v>
      </c>
      <c r="H46" s="36">
        <v>4</v>
      </c>
      <c r="I46" s="36">
        <v>9</v>
      </c>
    </row>
    <row r="47" ht="14.5" customHeight="1">
      <c r="A47" s="34"/>
      <c r="B47" t="s" s="35">
        <v>24</v>
      </c>
      <c r="C47" s="36">
        <v>0</v>
      </c>
      <c r="D47" s="37"/>
      <c r="E47" s="37"/>
      <c r="F47" s="37"/>
      <c r="G47" s="36">
        <v>0</v>
      </c>
      <c r="H47" s="36">
        <v>0</v>
      </c>
      <c r="I47" s="36">
        <v>10</v>
      </c>
    </row>
    <row r="48" ht="14.5" customHeight="1">
      <c r="A48" s="34"/>
      <c r="B48" t="s" s="35">
        <v>22</v>
      </c>
      <c r="C48" s="38">
        <v>0</v>
      </c>
      <c r="D48" s="37"/>
      <c r="E48" s="37"/>
      <c r="F48" s="37"/>
      <c r="G48" s="36">
        <v>0</v>
      </c>
      <c r="H48" s="36">
        <v>0</v>
      </c>
      <c r="I48" s="36">
        <v>10</v>
      </c>
    </row>
    <row r="49" ht="14.5" customHeight="1">
      <c r="A49" s="34"/>
      <c r="B49" t="s" s="21">
        <v>26</v>
      </c>
      <c r="C49" s="22">
        <v>18</v>
      </c>
      <c r="D49" s="22">
        <v>20</v>
      </c>
      <c r="E49" s="22">
        <v>15</v>
      </c>
      <c r="F49" s="22">
        <v>10</v>
      </c>
      <c r="G49" s="22">
        <v>63</v>
      </c>
      <c r="H49" s="22">
        <v>172</v>
      </c>
      <c r="I49" s="23"/>
    </row>
    <row r="50" ht="15" customHeight="1">
      <c r="A50" s="29"/>
      <c r="B50" s="39"/>
      <c r="C50" s="39"/>
      <c r="D50" s="39"/>
      <c r="E50" s="39"/>
      <c r="F50" s="39"/>
      <c r="G50" s="39"/>
      <c r="H50" s="39"/>
      <c r="I50" s="39"/>
    </row>
    <row r="51" ht="15" customHeight="1">
      <c r="A51" s="31"/>
      <c r="B51" t="s" s="10">
        <v>39</v>
      </c>
      <c r="C51" s="11"/>
      <c r="D51" s="11"/>
      <c r="E51" s="11"/>
      <c r="F51" s="11"/>
      <c r="G51" s="11"/>
      <c r="H51" s="11"/>
      <c r="I51" s="32"/>
    </row>
    <row r="52" ht="15" customHeight="1">
      <c r="A52" s="31"/>
      <c r="B52" t="s" s="14">
        <v>7</v>
      </c>
      <c r="C52" t="s" s="15">
        <v>8</v>
      </c>
      <c r="D52" t="s" s="15">
        <v>9</v>
      </c>
      <c r="E52" t="s" s="15">
        <v>10</v>
      </c>
      <c r="F52" t="s" s="15">
        <v>11</v>
      </c>
      <c r="G52" t="s" s="15">
        <v>12</v>
      </c>
      <c r="H52" t="s" s="15">
        <v>13</v>
      </c>
      <c r="I52" t="s" s="15">
        <v>14</v>
      </c>
    </row>
    <row r="53" ht="14.5" customHeight="1">
      <c r="A53" s="34"/>
      <c r="B53" t="s" s="35">
        <v>19</v>
      </c>
      <c r="C53" s="36">
        <v>2</v>
      </c>
      <c r="D53" s="37"/>
      <c r="E53" s="36">
        <v>7.5</v>
      </c>
      <c r="F53" s="36">
        <v>5</v>
      </c>
      <c r="G53" s="36">
        <v>14.5</v>
      </c>
      <c r="H53" s="36">
        <v>40.5</v>
      </c>
      <c r="I53" s="36">
        <v>2</v>
      </c>
    </row>
    <row r="54" ht="14.5" customHeight="1">
      <c r="A54" s="34"/>
      <c r="B54" t="s" s="40">
        <v>21</v>
      </c>
      <c r="C54" s="41">
        <v>2</v>
      </c>
      <c r="D54" s="42"/>
      <c r="E54" s="41">
        <v>7.5</v>
      </c>
      <c r="F54" s="42"/>
      <c r="G54" s="41">
        <v>9.5</v>
      </c>
      <c r="H54" s="41">
        <v>63</v>
      </c>
      <c r="I54" s="41">
        <v>1</v>
      </c>
    </row>
    <row r="55" ht="14.5" customHeight="1">
      <c r="A55" s="34"/>
      <c r="B55" t="s" s="35">
        <v>17</v>
      </c>
      <c r="C55" s="36">
        <v>2</v>
      </c>
      <c r="D55" s="37"/>
      <c r="E55" s="36">
        <v>7.5</v>
      </c>
      <c r="F55" s="37"/>
      <c r="G55" s="36">
        <v>9.5</v>
      </c>
      <c r="H55" s="36">
        <v>30.5</v>
      </c>
      <c r="I55" s="36">
        <v>3</v>
      </c>
    </row>
    <row r="56" ht="14.5" customHeight="1">
      <c r="A56" s="34"/>
      <c r="B56" t="s" s="35">
        <v>20</v>
      </c>
      <c r="C56" s="36">
        <v>2</v>
      </c>
      <c r="D56" s="37"/>
      <c r="E56" s="37"/>
      <c r="F56" s="37"/>
      <c r="G56" s="36">
        <v>2</v>
      </c>
      <c r="H56" s="36">
        <v>23</v>
      </c>
      <c r="I56" s="36">
        <v>5</v>
      </c>
    </row>
    <row r="57" ht="14.5" customHeight="1">
      <c r="A57" s="34"/>
      <c r="B57" t="s" s="35">
        <v>16</v>
      </c>
      <c r="C57" s="36">
        <v>2</v>
      </c>
      <c r="D57" s="36">
        <v>10</v>
      </c>
      <c r="E57" s="37"/>
      <c r="F57" s="37"/>
      <c r="G57" s="36">
        <v>12</v>
      </c>
      <c r="H57" s="36">
        <v>30.5</v>
      </c>
      <c r="I57" s="36">
        <v>3</v>
      </c>
    </row>
    <row r="58" ht="14.5" customHeight="1">
      <c r="A58" s="34"/>
      <c r="B58" t="s" s="35">
        <v>23</v>
      </c>
      <c r="C58" s="36">
        <v>2</v>
      </c>
      <c r="D58" s="37"/>
      <c r="E58" s="37"/>
      <c r="F58" s="37"/>
      <c r="G58" s="36">
        <v>2</v>
      </c>
      <c r="H58" s="36">
        <v>13</v>
      </c>
      <c r="I58" s="36">
        <v>7</v>
      </c>
    </row>
    <row r="59" ht="14.5" customHeight="1">
      <c r="A59" s="34"/>
      <c r="B59" t="s" s="35">
        <v>18</v>
      </c>
      <c r="C59" s="36">
        <v>2</v>
      </c>
      <c r="D59" s="37"/>
      <c r="E59" s="36">
        <v>7.5</v>
      </c>
      <c r="F59" s="37"/>
      <c r="G59" s="36">
        <v>9.5</v>
      </c>
      <c r="H59" s="36">
        <v>20.5</v>
      </c>
      <c r="I59" s="36">
        <v>6</v>
      </c>
    </row>
    <row r="60" ht="14.5" customHeight="1">
      <c r="A60" s="34"/>
      <c r="B60" t="s" s="35">
        <v>15</v>
      </c>
      <c r="C60" s="36">
        <v>2</v>
      </c>
      <c r="D60" s="37"/>
      <c r="E60" s="37"/>
      <c r="F60" s="37"/>
      <c r="G60" s="36">
        <v>2</v>
      </c>
      <c r="H60" s="36">
        <v>8</v>
      </c>
      <c r="I60" s="36">
        <v>8</v>
      </c>
    </row>
    <row r="61" ht="14.5" customHeight="1">
      <c r="A61" s="34"/>
      <c r="B61" t="s" s="35">
        <v>25</v>
      </c>
      <c r="C61" s="36">
        <v>0</v>
      </c>
      <c r="D61" s="37"/>
      <c r="E61" s="37"/>
      <c r="F61" s="37"/>
      <c r="G61" s="36">
        <v>0</v>
      </c>
      <c r="H61" s="36">
        <v>4</v>
      </c>
      <c r="I61" s="36">
        <v>9</v>
      </c>
    </row>
    <row r="62" ht="14.5" customHeight="1">
      <c r="A62" s="34"/>
      <c r="B62" t="s" s="35">
        <v>24</v>
      </c>
      <c r="C62" s="36">
        <v>0</v>
      </c>
      <c r="D62" s="37"/>
      <c r="E62" s="37"/>
      <c r="F62" s="37"/>
      <c r="G62" s="36">
        <v>0</v>
      </c>
      <c r="H62" s="36">
        <v>0</v>
      </c>
      <c r="I62" s="36">
        <v>10</v>
      </c>
    </row>
    <row r="63" ht="14.5" customHeight="1">
      <c r="A63" s="34"/>
      <c r="B63" t="s" s="35">
        <v>22</v>
      </c>
      <c r="C63" s="38">
        <v>0</v>
      </c>
      <c r="D63" s="37"/>
      <c r="E63" s="37"/>
      <c r="F63" s="37"/>
      <c r="G63" s="36">
        <v>0</v>
      </c>
      <c r="H63" s="36">
        <v>0</v>
      </c>
      <c r="I63" s="36">
        <v>10</v>
      </c>
    </row>
    <row r="64" ht="14.5" customHeight="1">
      <c r="A64" s="34"/>
      <c r="B64" t="s" s="21">
        <v>26</v>
      </c>
      <c r="C64" s="22">
        <v>16</v>
      </c>
      <c r="D64" s="22">
        <v>10</v>
      </c>
      <c r="E64" s="22">
        <v>30</v>
      </c>
      <c r="F64" s="22">
        <v>5</v>
      </c>
      <c r="G64" s="22">
        <v>61</v>
      </c>
      <c r="H64" s="22">
        <v>233</v>
      </c>
      <c r="I64" s="23"/>
    </row>
    <row r="65" ht="14.5" customHeight="1">
      <c r="A65" s="29"/>
      <c r="B65" s="43"/>
      <c r="C65" s="43"/>
      <c r="D65" s="43"/>
      <c r="E65" s="43"/>
      <c r="F65" s="43"/>
      <c r="G65" s="43"/>
      <c r="H65" s="43"/>
      <c r="I65" s="43"/>
    </row>
    <row r="66" ht="41.5" customHeight="1">
      <c r="A66" s="29"/>
      <c r="B66" t="s" s="44">
        <v>32</v>
      </c>
      <c r="C66" s="45"/>
      <c r="D66" s="45"/>
      <c r="E66" s="45"/>
      <c r="F66" s="45"/>
      <c r="G66" s="45"/>
      <c r="H66" s="45"/>
      <c r="I66" s="45"/>
    </row>
    <row r="67" ht="14.5" customHeight="1">
      <c r="A67" s="29"/>
      <c r="B67" s="45"/>
      <c r="C67" s="45"/>
      <c r="D67" s="45"/>
      <c r="E67" s="45"/>
      <c r="F67" s="45"/>
      <c r="G67" s="45"/>
      <c r="H67" s="45"/>
      <c r="I67" s="45"/>
    </row>
  </sheetData>
  <mergeCells count="14">
    <mergeCell ref="B6:I6"/>
    <mergeCell ref="A65:B65"/>
    <mergeCell ref="B66:I67"/>
    <mergeCell ref="A20:B20"/>
    <mergeCell ref="B21:I21"/>
    <mergeCell ref="A35:B35"/>
    <mergeCell ref="B36:I36"/>
    <mergeCell ref="A50:B50"/>
    <mergeCell ref="B51:I51"/>
    <mergeCell ref="A1:B1"/>
    <mergeCell ref="B2:I2"/>
    <mergeCell ref="A3:B3"/>
    <mergeCell ref="B4:I4"/>
    <mergeCell ref="A5:B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I67"/>
  <sheetViews>
    <sheetView workbookViewId="0" showGridLines="0" defaultGridColor="1"/>
  </sheetViews>
  <sheetFormatPr defaultColWidth="9.16667" defaultRowHeight="14" customHeight="1" outlineLevelRow="0" outlineLevelCol="0"/>
  <cols>
    <col min="1" max="1" width="1.67188" style="46" customWidth="1"/>
    <col min="2" max="9" width="20.6719" style="46" customWidth="1"/>
    <col min="10" max="16384" width="9.17188" style="46" customWidth="1"/>
  </cols>
  <sheetData>
    <row r="1" ht="14.5" customHeight="1">
      <c r="A1" s="7"/>
      <c r="B1" s="8"/>
      <c r="C1" s="8"/>
      <c r="D1" s="8"/>
      <c r="E1" s="8"/>
      <c r="F1" s="8"/>
      <c r="G1" s="8"/>
      <c r="H1" s="8"/>
      <c r="I1" s="8"/>
    </row>
    <row r="2" ht="14.5" customHeight="1">
      <c r="A2" s="9"/>
      <c r="B2" t="s" s="10">
        <v>41</v>
      </c>
      <c r="C2" s="11"/>
      <c r="D2" s="11"/>
      <c r="E2" s="11"/>
      <c r="F2" s="11"/>
      <c r="G2" s="11"/>
      <c r="H2" s="12"/>
      <c r="I2" s="13"/>
    </row>
    <row r="3" ht="14.5" customHeight="1">
      <c r="A3" s="7"/>
      <c r="B3" s="47"/>
      <c r="C3" s="47"/>
      <c r="D3" s="47"/>
      <c r="E3" s="47"/>
      <c r="F3" s="47"/>
      <c r="G3" s="47"/>
      <c r="H3" s="47"/>
      <c r="I3" s="47"/>
    </row>
    <row r="4" ht="14.5" customHeight="1">
      <c r="A4" s="9"/>
      <c r="B4" t="s" s="10">
        <v>42</v>
      </c>
      <c r="C4" s="11"/>
      <c r="D4" s="11"/>
      <c r="E4" s="11"/>
      <c r="F4" s="11"/>
      <c r="G4" s="11"/>
      <c r="H4" s="12"/>
      <c r="I4" s="13"/>
    </row>
    <row r="5" ht="14.5" customHeight="1">
      <c r="A5" s="7"/>
      <c r="B5" s="47"/>
      <c r="C5" s="47"/>
      <c r="D5" s="47"/>
      <c r="E5" s="47"/>
      <c r="F5" s="47"/>
      <c r="G5" s="47"/>
      <c r="H5" s="47"/>
      <c r="I5" s="47"/>
    </row>
    <row r="6" ht="14.5" customHeight="1">
      <c r="A6" s="9"/>
      <c r="B6" t="s" s="10">
        <v>43</v>
      </c>
      <c r="C6" s="11"/>
      <c r="D6" s="11"/>
      <c r="E6" s="11"/>
      <c r="F6" s="11"/>
      <c r="G6" s="11"/>
      <c r="H6" s="12"/>
      <c r="I6" s="13"/>
    </row>
    <row r="7" ht="16.5" customHeight="1">
      <c r="A7" s="9"/>
      <c r="B7" t="s" s="14">
        <v>7</v>
      </c>
      <c r="C7" t="s" s="15">
        <v>8</v>
      </c>
      <c r="D7" t="s" s="15">
        <v>9</v>
      </c>
      <c r="E7" t="s" s="15">
        <v>10</v>
      </c>
      <c r="F7" t="s" s="15">
        <v>11</v>
      </c>
      <c r="G7" t="s" s="15">
        <v>12</v>
      </c>
      <c r="H7" t="s" s="15">
        <v>13</v>
      </c>
      <c r="I7" t="s" s="15">
        <v>14</v>
      </c>
    </row>
    <row r="8" ht="16" customHeight="1">
      <c r="A8" s="16"/>
      <c r="B8" t="s" s="17">
        <v>21</v>
      </c>
      <c r="C8" s="18">
        <v>0</v>
      </c>
      <c r="D8" s="19"/>
      <c r="E8" s="19"/>
      <c r="F8" s="19"/>
      <c r="G8" s="18" cm="1">
        <f t="array" ref="G8">SUM(C8:F8)</f>
        <v>0</v>
      </c>
      <c r="H8" s="18" cm="1">
        <f t="array" ref="H8">G8</f>
        <v>0</v>
      </c>
      <c r="I8" s="18">
        <v>11</v>
      </c>
    </row>
    <row r="9" ht="16" customHeight="1">
      <c r="A9" s="16"/>
      <c r="B9" t="s" s="17">
        <v>17</v>
      </c>
      <c r="C9" s="18">
        <v>2</v>
      </c>
      <c r="D9" s="19"/>
      <c r="E9" s="19"/>
      <c r="F9" s="18">
        <v>5</v>
      </c>
      <c r="G9" s="18" cm="1">
        <f t="array" ref="G9">SUM(C9:F9)</f>
        <v>7</v>
      </c>
      <c r="H9" s="18" cm="1">
        <f t="array" ref="H9">G9</f>
        <v>7</v>
      </c>
      <c r="I9" s="18">
        <v>4</v>
      </c>
    </row>
    <row r="10" ht="16" customHeight="1">
      <c r="A10" s="16"/>
      <c r="B10" t="s" s="17">
        <v>24</v>
      </c>
      <c r="C10" s="18">
        <v>0</v>
      </c>
      <c r="D10" s="19"/>
      <c r="E10" s="19"/>
      <c r="F10" s="19"/>
      <c r="G10" s="18" cm="1">
        <f t="array" ref="G10">SUM(C10:F10)</f>
        <v>0</v>
      </c>
      <c r="H10" s="18" cm="1">
        <f t="array" ref="H10">G10</f>
        <v>0</v>
      </c>
      <c r="I10" s="18">
        <v>9</v>
      </c>
    </row>
    <row r="11" ht="16" customHeight="1">
      <c r="A11" s="16"/>
      <c r="B11" t="s" s="17">
        <v>18</v>
      </c>
      <c r="C11" s="18">
        <v>2</v>
      </c>
      <c r="D11" s="19"/>
      <c r="E11" s="19"/>
      <c r="F11" s="18">
        <v>5</v>
      </c>
      <c r="G11" s="18" cm="1">
        <f t="array" ref="G11">SUM(C11:F11)</f>
        <v>7</v>
      </c>
      <c r="H11" s="18" cm="1">
        <f t="array" ref="H11">G11</f>
        <v>7</v>
      </c>
      <c r="I11" s="18">
        <v>4</v>
      </c>
    </row>
    <row r="12" ht="16" customHeight="1">
      <c r="A12" s="16"/>
      <c r="B12" t="s" s="17">
        <v>23</v>
      </c>
      <c r="C12" s="18">
        <v>2</v>
      </c>
      <c r="D12" s="18">
        <v>10</v>
      </c>
      <c r="E12" s="19"/>
      <c r="F12" s="19"/>
      <c r="G12" s="18" cm="1">
        <f t="array" ref="G12">SUM(C12:F12)</f>
        <v>12</v>
      </c>
      <c r="H12" s="18" cm="1">
        <f t="array" ref="H12">G12</f>
        <v>12</v>
      </c>
      <c r="I12" s="18">
        <v>1</v>
      </c>
    </row>
    <row r="13" ht="16" customHeight="1">
      <c r="A13" s="16"/>
      <c r="B13" t="s" s="17">
        <v>16</v>
      </c>
      <c r="C13" s="18">
        <v>2</v>
      </c>
      <c r="D13" s="19"/>
      <c r="E13" s="19"/>
      <c r="F13" s="19"/>
      <c r="G13" s="18" cm="1">
        <f t="array" ref="G13">SUM(C13:F13)</f>
        <v>2</v>
      </c>
      <c r="H13" s="18" cm="1">
        <f t="array" ref="H13">G13</f>
        <v>2</v>
      </c>
      <c r="I13" s="18">
        <v>7</v>
      </c>
    </row>
    <row r="14" ht="16" customHeight="1">
      <c r="A14" s="16"/>
      <c r="B14" t="s" s="17">
        <v>19</v>
      </c>
      <c r="C14" s="18">
        <v>2</v>
      </c>
      <c r="D14" s="18">
        <v>10</v>
      </c>
      <c r="E14" s="19"/>
      <c r="F14" s="19"/>
      <c r="G14" s="18" cm="1">
        <f t="array" ref="G14">SUM(C14:F14)</f>
        <v>12</v>
      </c>
      <c r="H14" s="18" cm="1">
        <f t="array" ref="H14">G14</f>
        <v>12</v>
      </c>
      <c r="I14" s="18">
        <v>1</v>
      </c>
    </row>
    <row r="15" ht="16" customHeight="1">
      <c r="A15" s="16"/>
      <c r="B15" t="s" s="17">
        <v>20</v>
      </c>
      <c r="C15" s="18">
        <v>2</v>
      </c>
      <c r="D15" s="19"/>
      <c r="E15" s="19"/>
      <c r="F15" s="18">
        <v>5</v>
      </c>
      <c r="G15" s="18" cm="1">
        <f t="array" ref="G15">SUM(C15:F15)</f>
        <v>7</v>
      </c>
      <c r="H15" s="18" cm="1">
        <f t="array" ref="H15">G15</f>
        <v>7</v>
      </c>
      <c r="I15" s="18">
        <v>4</v>
      </c>
    </row>
    <row r="16" ht="16" customHeight="1">
      <c r="A16" s="16"/>
      <c r="B16" t="s" s="17">
        <v>25</v>
      </c>
      <c r="C16" s="18">
        <v>2</v>
      </c>
      <c r="D16" s="18">
        <v>10</v>
      </c>
      <c r="E16" s="19"/>
      <c r="F16" s="19"/>
      <c r="G16" s="18" cm="1">
        <f t="array" ref="G16">SUM(C16:F16)</f>
        <v>12</v>
      </c>
      <c r="H16" s="18" cm="1">
        <f t="array" ref="H16">G16</f>
        <v>12</v>
      </c>
      <c r="I16" s="18">
        <v>1</v>
      </c>
    </row>
    <row r="17" ht="16" customHeight="1">
      <c r="A17" s="16"/>
      <c r="B17" t="s" s="17">
        <v>15</v>
      </c>
      <c r="C17" s="18">
        <v>2</v>
      </c>
      <c r="D17" s="19"/>
      <c r="E17" s="19"/>
      <c r="F17" s="19"/>
      <c r="G17" s="18" cm="1">
        <f t="array" ref="G17">SUM(C17:F17)</f>
        <v>2</v>
      </c>
      <c r="H17" s="18" cm="1">
        <f t="array" ref="H17">G17</f>
        <v>2</v>
      </c>
      <c r="I17" s="18">
        <v>7</v>
      </c>
    </row>
    <row r="18" ht="16" customHeight="1">
      <c r="A18" s="16"/>
      <c r="B18" t="s" s="17">
        <v>22</v>
      </c>
      <c r="C18" s="20">
        <v>0</v>
      </c>
      <c r="D18" s="19"/>
      <c r="E18" s="19"/>
      <c r="F18" s="19"/>
      <c r="G18" s="18" cm="1">
        <f t="array" ref="G18">SUM(C18:F18)</f>
        <v>0</v>
      </c>
      <c r="H18" s="18" cm="1">
        <f t="array" ref="H18">G18</f>
        <v>0</v>
      </c>
      <c r="I18" s="18">
        <v>10</v>
      </c>
    </row>
    <row r="19" ht="16" customHeight="1">
      <c r="A19" s="16"/>
      <c r="B19" t="s" s="21">
        <v>26</v>
      </c>
      <c r="C19" s="22" cm="1">
        <f t="array" ref="C19">SUM(C8:C18)</f>
        <v>16</v>
      </c>
      <c r="D19" s="22" cm="1">
        <f t="array" ref="D19">SUM(D8:D18)</f>
        <v>30</v>
      </c>
      <c r="E19" s="22" cm="1">
        <f t="array" ref="E19">SUM(E8:E18)</f>
        <v>0</v>
      </c>
      <c r="F19" s="22" cm="1">
        <f t="array" ref="F19">SUM(F8:F18)</f>
        <v>15</v>
      </c>
      <c r="G19" s="22" cm="1">
        <f t="array" ref="G19">SUM(G8:G18)</f>
        <v>61</v>
      </c>
      <c r="H19" s="22" cm="1">
        <f t="array" ref="H19">SUM(H8:H18)</f>
        <v>61</v>
      </c>
      <c r="I19" s="23"/>
    </row>
    <row r="20" ht="14.5" customHeight="1">
      <c r="A20" s="7"/>
      <c r="B20" s="24"/>
      <c r="C20" s="24"/>
      <c r="D20" s="24"/>
      <c r="E20" s="24"/>
      <c r="F20" s="24"/>
      <c r="G20" s="24"/>
      <c r="H20" s="24"/>
      <c r="I20" s="24"/>
    </row>
    <row r="21" ht="14.5" customHeight="1">
      <c r="A21" s="9"/>
      <c r="B21" t="s" s="10">
        <v>44</v>
      </c>
      <c r="C21" s="11"/>
      <c r="D21" s="11"/>
      <c r="E21" s="11"/>
      <c r="F21" s="11"/>
      <c r="G21" s="11"/>
      <c r="H21" s="12"/>
      <c r="I21" s="13"/>
    </row>
    <row r="22" ht="16.5" customHeight="1">
      <c r="A22" s="9"/>
      <c r="B22" t="s" s="14">
        <v>7</v>
      </c>
      <c r="C22" t="s" s="15">
        <v>8</v>
      </c>
      <c r="D22" t="s" s="15">
        <v>9</v>
      </c>
      <c r="E22" t="s" s="15">
        <v>10</v>
      </c>
      <c r="F22" t="s" s="15">
        <v>11</v>
      </c>
      <c r="G22" t="s" s="15">
        <v>12</v>
      </c>
      <c r="H22" t="s" s="15">
        <v>13</v>
      </c>
      <c r="I22" t="s" s="15">
        <v>14</v>
      </c>
    </row>
    <row r="23" ht="16" customHeight="1">
      <c r="A23" s="16"/>
      <c r="B23" t="s" s="17">
        <v>21</v>
      </c>
      <c r="C23" s="18">
        <v>0</v>
      </c>
      <c r="D23" s="19"/>
      <c r="E23" s="19"/>
      <c r="F23" s="19"/>
      <c r="G23" s="18" cm="1">
        <f t="array" ref="G23">SUM(C23:F23)</f>
        <v>0</v>
      </c>
      <c r="H23" s="18" cm="1">
        <f t="array" ref="H23">H8+G23</f>
        <v>0</v>
      </c>
      <c r="I23" s="18">
        <v>11</v>
      </c>
    </row>
    <row r="24" ht="16" customHeight="1">
      <c r="A24" s="16"/>
      <c r="B24" t="s" s="17">
        <v>17</v>
      </c>
      <c r="C24" s="18">
        <v>2</v>
      </c>
      <c r="D24" s="18">
        <v>10</v>
      </c>
      <c r="E24" s="19"/>
      <c r="F24" s="19"/>
      <c r="G24" s="18" cm="1">
        <f t="array" ref="G24">SUM(C24:F24)</f>
        <v>12</v>
      </c>
      <c r="H24" s="18" cm="1">
        <f t="array" ref="H24">H9+G24</f>
        <v>19</v>
      </c>
      <c r="I24" s="18">
        <v>2</v>
      </c>
    </row>
    <row r="25" ht="16" customHeight="1">
      <c r="A25" s="16"/>
      <c r="B25" t="s" s="17">
        <v>16</v>
      </c>
      <c r="C25" s="18">
        <v>2</v>
      </c>
      <c r="D25" s="18">
        <v>10</v>
      </c>
      <c r="E25" s="18">
        <v>2.5</v>
      </c>
      <c r="F25" s="19"/>
      <c r="G25" s="18" cm="1">
        <f t="array" ref="G25">SUM(C25:F25)</f>
        <v>14.5</v>
      </c>
      <c r="H25" s="18" cm="1">
        <f t="array" ref="H25">H13+G25</f>
        <v>16.5</v>
      </c>
      <c r="I25" s="18">
        <v>3</v>
      </c>
    </row>
    <row r="26" ht="16" customHeight="1">
      <c r="A26" s="16"/>
      <c r="B26" t="s" s="17">
        <v>24</v>
      </c>
      <c r="C26" s="18">
        <v>0</v>
      </c>
      <c r="D26" s="19"/>
      <c r="E26" s="19"/>
      <c r="F26" s="19"/>
      <c r="G26" s="18" cm="1">
        <f t="array" ref="G26">SUM(C26:F26)</f>
        <v>0</v>
      </c>
      <c r="H26" s="18" cm="1">
        <f t="array" ref="H26">H10+G26</f>
        <v>0</v>
      </c>
      <c r="I26" s="18">
        <v>9</v>
      </c>
    </row>
    <row r="27" ht="16" customHeight="1">
      <c r="A27" s="16"/>
      <c r="B27" t="s" s="17">
        <v>23</v>
      </c>
      <c r="C27" s="18">
        <v>2</v>
      </c>
      <c r="D27" s="19"/>
      <c r="E27" s="19"/>
      <c r="F27" s="19"/>
      <c r="G27" s="18" cm="1">
        <f t="array" ref="G27">SUM(C27:F27)</f>
        <v>2</v>
      </c>
      <c r="H27" s="18" cm="1">
        <f t="array" ref="H27">H12+G27</f>
        <v>14</v>
      </c>
      <c r="I27" s="18">
        <v>5</v>
      </c>
    </row>
    <row r="28" ht="16" customHeight="1">
      <c r="A28" s="16"/>
      <c r="B28" t="s" s="17">
        <v>19</v>
      </c>
      <c r="C28" s="18">
        <v>2</v>
      </c>
      <c r="D28" s="18">
        <v>10</v>
      </c>
      <c r="E28" s="19"/>
      <c r="F28" s="18">
        <v>5</v>
      </c>
      <c r="G28" s="18" cm="1">
        <f t="array" ref="G28">SUM(C28:F28)</f>
        <v>17</v>
      </c>
      <c r="H28" s="18" cm="1">
        <f t="array" ref="H28">H14+G28</f>
        <v>29</v>
      </c>
      <c r="I28" s="18">
        <v>1</v>
      </c>
    </row>
    <row r="29" ht="16" customHeight="1">
      <c r="A29" s="16"/>
      <c r="B29" t="s" s="17">
        <v>18</v>
      </c>
      <c r="C29" s="18">
        <v>0</v>
      </c>
      <c r="D29" s="19"/>
      <c r="E29" s="19"/>
      <c r="F29" s="19"/>
      <c r="G29" s="18" cm="1">
        <f t="array" ref="G29">SUM(C29:F29)</f>
        <v>0</v>
      </c>
      <c r="H29" s="18" cm="1">
        <f t="array" ref="H29">H11+G29</f>
        <v>7</v>
      </c>
      <c r="I29" s="18">
        <v>7</v>
      </c>
    </row>
    <row r="30" ht="16" customHeight="1">
      <c r="A30" s="16"/>
      <c r="B30" t="s" s="17">
        <v>20</v>
      </c>
      <c r="C30" s="18">
        <v>2</v>
      </c>
      <c r="D30" s="19"/>
      <c r="E30" s="19"/>
      <c r="F30" s="18">
        <v>5</v>
      </c>
      <c r="G30" s="18" cm="1">
        <f t="array" ref="G30">SUM(C30:F30)</f>
        <v>7</v>
      </c>
      <c r="H30" s="18" cm="1">
        <f t="array" ref="H30">H15+G30</f>
        <v>14</v>
      </c>
      <c r="I30" s="18">
        <v>5</v>
      </c>
    </row>
    <row r="31" ht="16" customHeight="1">
      <c r="A31" s="16"/>
      <c r="B31" t="s" s="17">
        <v>25</v>
      </c>
      <c r="C31" s="18">
        <v>2</v>
      </c>
      <c r="D31" s="19"/>
      <c r="E31" s="18">
        <v>2.5</v>
      </c>
      <c r="F31" s="19"/>
      <c r="G31" s="18" cm="1">
        <f t="array" ref="G31">SUM(C31:F31)</f>
        <v>4.5</v>
      </c>
      <c r="H31" s="18" cm="1">
        <f t="array" ref="H31">H16+G31</f>
        <v>16.5</v>
      </c>
      <c r="I31" s="18">
        <v>3</v>
      </c>
    </row>
    <row r="32" ht="16" customHeight="1">
      <c r="A32" s="16"/>
      <c r="B32" t="s" s="17">
        <v>15</v>
      </c>
      <c r="C32" s="18">
        <v>0</v>
      </c>
      <c r="D32" s="19"/>
      <c r="E32" s="19"/>
      <c r="F32" s="19"/>
      <c r="G32" s="18" cm="1">
        <f t="array" ref="G32">SUM(C32:F32)</f>
        <v>0</v>
      </c>
      <c r="H32" s="18" cm="1">
        <f t="array" ref="H32">H17+G32</f>
        <v>2</v>
      </c>
      <c r="I32" s="18">
        <v>8</v>
      </c>
    </row>
    <row r="33" ht="16" customHeight="1">
      <c r="A33" s="16"/>
      <c r="B33" t="s" s="17">
        <v>22</v>
      </c>
      <c r="C33" s="20">
        <v>0</v>
      </c>
      <c r="D33" s="19"/>
      <c r="E33" s="19"/>
      <c r="F33" s="19"/>
      <c r="G33" s="18" cm="1">
        <f t="array" ref="G33">SUM(C33:F33)</f>
        <v>0</v>
      </c>
      <c r="H33" s="18" cm="1">
        <f t="array" ref="H33">H18+G33</f>
        <v>0</v>
      </c>
      <c r="I33" s="18">
        <v>10</v>
      </c>
    </row>
    <row r="34" ht="16" customHeight="1">
      <c r="A34" s="16"/>
      <c r="B34" t="s" s="21">
        <v>26</v>
      </c>
      <c r="C34" s="22" cm="1">
        <f t="array" ref="C34">SUM(C23:C33)</f>
        <v>12</v>
      </c>
      <c r="D34" s="22" cm="1">
        <f t="array" ref="D34">SUM(D23:D33)</f>
        <v>30</v>
      </c>
      <c r="E34" s="22" cm="1">
        <f t="array" ref="E34">SUM(E23:E33)</f>
        <v>5</v>
      </c>
      <c r="F34" s="22" cm="1">
        <f t="array" ref="F34">SUM(F23:F33)</f>
        <v>10</v>
      </c>
      <c r="G34" s="22" cm="1">
        <f t="array" ref="G34">SUM(G23:G33)</f>
        <v>57</v>
      </c>
      <c r="H34" s="22" cm="1">
        <f t="array" ref="H34">SUM(H23:H33)</f>
        <v>118</v>
      </c>
      <c r="I34" s="23"/>
    </row>
    <row r="35" ht="14.5" customHeight="1">
      <c r="A35" s="7"/>
      <c r="B35" s="24"/>
      <c r="C35" s="24"/>
      <c r="D35" s="24"/>
      <c r="E35" s="24"/>
      <c r="F35" s="24"/>
      <c r="G35" s="24"/>
      <c r="H35" s="24"/>
      <c r="I35" s="24"/>
    </row>
    <row r="36" ht="14.5" customHeight="1">
      <c r="A36" s="9"/>
      <c r="B36" t="s" s="10">
        <v>45</v>
      </c>
      <c r="C36" s="11"/>
      <c r="D36" s="11"/>
      <c r="E36" s="11"/>
      <c r="F36" s="11"/>
      <c r="G36" s="11"/>
      <c r="H36" s="12"/>
      <c r="I36" s="13"/>
    </row>
    <row r="37" ht="16.5" customHeight="1">
      <c r="A37" s="9"/>
      <c r="B37" t="s" s="14">
        <v>7</v>
      </c>
      <c r="C37" t="s" s="15">
        <v>8</v>
      </c>
      <c r="D37" t="s" s="15">
        <v>9</v>
      </c>
      <c r="E37" t="s" s="15">
        <v>10</v>
      </c>
      <c r="F37" t="s" s="15">
        <v>11</v>
      </c>
      <c r="G37" t="s" s="15">
        <v>12</v>
      </c>
      <c r="H37" t="s" s="15">
        <v>13</v>
      </c>
      <c r="I37" t="s" s="15">
        <v>14</v>
      </c>
    </row>
    <row r="38" ht="16" customHeight="1">
      <c r="A38" s="16"/>
      <c r="B38" t="s" s="17">
        <v>17</v>
      </c>
      <c r="C38" s="18">
        <v>2</v>
      </c>
      <c r="D38" s="19"/>
      <c r="E38" s="19"/>
      <c r="F38" s="19"/>
      <c r="G38" s="18" cm="1">
        <f t="array" ref="G38">SUM(C38:F38)</f>
        <v>2</v>
      </c>
      <c r="H38" s="18" cm="1">
        <f t="array" ref="H38">H24+G38</f>
        <v>21</v>
      </c>
      <c r="I38" s="18">
        <v>4</v>
      </c>
    </row>
    <row r="39" ht="16" customHeight="1">
      <c r="A39" s="16"/>
      <c r="B39" t="s" s="17">
        <v>23</v>
      </c>
      <c r="C39" s="18">
        <v>2</v>
      </c>
      <c r="D39" s="19"/>
      <c r="E39" s="19"/>
      <c r="F39" s="18">
        <v>15</v>
      </c>
      <c r="G39" s="18" cm="1">
        <f t="array" ref="G39">SUM(C39:F39)</f>
        <v>17</v>
      </c>
      <c r="H39" s="18" cm="1">
        <f t="array" ref="H39">H27+G39</f>
        <v>31</v>
      </c>
      <c r="I39" s="18">
        <v>2</v>
      </c>
    </row>
    <row r="40" ht="16" customHeight="1">
      <c r="A40" s="16"/>
      <c r="B40" t="s" s="17">
        <v>21</v>
      </c>
      <c r="C40" s="18">
        <v>0</v>
      </c>
      <c r="D40" s="19"/>
      <c r="E40" s="19"/>
      <c r="F40" s="19"/>
      <c r="G40" s="18" cm="1">
        <f t="array" ref="G40">SUM(C40:F40)</f>
        <v>0</v>
      </c>
      <c r="H40" s="18" cm="1">
        <f t="array" ref="H40">H23+G40</f>
        <v>0</v>
      </c>
      <c r="I40" s="18">
        <v>10</v>
      </c>
    </row>
    <row r="41" ht="16" customHeight="1">
      <c r="A41" s="16"/>
      <c r="B41" t="s" s="17">
        <v>16</v>
      </c>
      <c r="C41" s="18">
        <v>2</v>
      </c>
      <c r="D41" s="19"/>
      <c r="E41" s="19"/>
      <c r="F41" s="19"/>
      <c r="G41" s="18" cm="1">
        <f t="array" ref="G41">SUM(C41:F41)</f>
        <v>2</v>
      </c>
      <c r="H41" s="18" cm="1">
        <f t="array" ref="H41">H25+G41</f>
        <v>18.5</v>
      </c>
      <c r="I41" s="18">
        <v>6</v>
      </c>
    </row>
    <row r="42" ht="16" customHeight="1">
      <c r="A42" s="16"/>
      <c r="B42" t="s" s="17">
        <v>24</v>
      </c>
      <c r="C42" s="18">
        <v>0</v>
      </c>
      <c r="D42" s="19"/>
      <c r="E42" s="19"/>
      <c r="F42" s="19"/>
      <c r="G42" s="18" cm="1">
        <f t="array" ref="G42">SUM(C42:F42)</f>
        <v>0</v>
      </c>
      <c r="H42" s="18" cm="1">
        <f t="array" ref="H42">H26+G42</f>
        <v>0</v>
      </c>
      <c r="I42" s="18">
        <v>9</v>
      </c>
    </row>
    <row r="43" ht="16" customHeight="1">
      <c r="A43" s="16"/>
      <c r="B43" t="s" s="17">
        <v>19</v>
      </c>
      <c r="C43" s="18">
        <v>2</v>
      </c>
      <c r="D43" s="18">
        <v>10</v>
      </c>
      <c r="E43" s="19"/>
      <c r="F43" s="19"/>
      <c r="G43" s="18" cm="1">
        <f t="array" ref="G43">SUM(C43:F43)</f>
        <v>12</v>
      </c>
      <c r="H43" s="18" cm="1">
        <f t="array" ref="H43">H28+G43</f>
        <v>41</v>
      </c>
      <c r="I43" s="18">
        <v>1</v>
      </c>
    </row>
    <row r="44" ht="16" customHeight="1">
      <c r="A44" s="16"/>
      <c r="B44" t="s" s="17">
        <v>20</v>
      </c>
      <c r="C44" s="18">
        <v>2</v>
      </c>
      <c r="D44" s="19"/>
      <c r="E44" s="19"/>
      <c r="F44" s="19"/>
      <c r="G44" s="18" cm="1">
        <f t="array" ref="G44">SUM(C44:F44)</f>
        <v>2</v>
      </c>
      <c r="H44" s="18" cm="1">
        <f t="array" ref="H44">H30+G44</f>
        <v>16</v>
      </c>
      <c r="I44" s="18">
        <v>7</v>
      </c>
    </row>
    <row r="45" ht="16" customHeight="1">
      <c r="A45" s="16"/>
      <c r="B45" t="s" s="17">
        <v>18</v>
      </c>
      <c r="C45" s="18">
        <v>2</v>
      </c>
      <c r="D45" s="18">
        <v>20</v>
      </c>
      <c r="E45" s="19"/>
      <c r="F45" s="19"/>
      <c r="G45" s="18" cm="1">
        <f t="array" ref="G45">SUM(C45:F45)</f>
        <v>22</v>
      </c>
      <c r="H45" s="18" cm="1">
        <f t="array" ref="H45">H29+G45</f>
        <v>29</v>
      </c>
      <c r="I45" s="18">
        <v>3</v>
      </c>
    </row>
    <row r="46" ht="16" customHeight="1">
      <c r="A46" s="16"/>
      <c r="B46" t="s" s="17">
        <v>25</v>
      </c>
      <c r="C46" s="18">
        <v>2</v>
      </c>
      <c r="D46" s="19"/>
      <c r="E46" s="19"/>
      <c r="F46" s="19"/>
      <c r="G46" s="18" cm="1">
        <f t="array" ref="G46">SUM(C46:F46)</f>
        <v>2</v>
      </c>
      <c r="H46" s="18" cm="1">
        <f t="array" ref="H46">H31+G46</f>
        <v>18.5</v>
      </c>
      <c r="I46" s="18">
        <v>6</v>
      </c>
    </row>
    <row r="47" ht="16" customHeight="1">
      <c r="A47" s="16"/>
      <c r="B47" t="s" s="17">
        <v>15</v>
      </c>
      <c r="C47" s="18">
        <v>2</v>
      </c>
      <c r="D47" s="19"/>
      <c r="E47" s="19"/>
      <c r="F47" s="19"/>
      <c r="G47" s="18" cm="1">
        <f t="array" ref="G47">SUM(C47:F47)</f>
        <v>2</v>
      </c>
      <c r="H47" s="18" cm="1">
        <f t="array" ref="H47">H32+G47</f>
        <v>4</v>
      </c>
      <c r="I47" s="18">
        <v>8</v>
      </c>
    </row>
    <row r="48" ht="16" customHeight="1">
      <c r="A48" s="16"/>
      <c r="B48" t="s" s="17">
        <v>22</v>
      </c>
      <c r="C48" s="20">
        <v>0</v>
      </c>
      <c r="D48" s="19"/>
      <c r="E48" s="19"/>
      <c r="F48" s="19"/>
      <c r="G48" s="18" cm="1">
        <f t="array" ref="G48">SUM(C48:F48)</f>
        <v>0</v>
      </c>
      <c r="H48" s="18" cm="1">
        <f t="array" ref="H48">H33+G48</f>
        <v>0</v>
      </c>
      <c r="I48" s="18">
        <v>11</v>
      </c>
    </row>
    <row r="49" ht="16" customHeight="1">
      <c r="A49" s="16"/>
      <c r="B49" t="s" s="21">
        <v>26</v>
      </c>
      <c r="C49" s="22" cm="1">
        <f t="array" ref="C49">SUM(C38:C48)</f>
        <v>16</v>
      </c>
      <c r="D49" s="22" cm="1">
        <f t="array" ref="D49">SUM(D38:D48)</f>
        <v>30</v>
      </c>
      <c r="E49" s="22" cm="1">
        <f t="array" ref="E49">SUM(E38:E48)</f>
        <v>0</v>
      </c>
      <c r="F49" s="22" cm="1">
        <f t="array" ref="F49">SUM(F38:F48)</f>
        <v>15</v>
      </c>
      <c r="G49" s="22" cm="1">
        <f t="array" ref="G49">SUM(G38:G48)</f>
        <v>61</v>
      </c>
      <c r="H49" s="22" cm="1">
        <f t="array" ref="H49">SUM(H38:H48)</f>
        <v>179</v>
      </c>
      <c r="I49" s="23"/>
    </row>
    <row r="50" ht="14.5" customHeight="1">
      <c r="A50" s="7"/>
      <c r="B50" s="24"/>
      <c r="C50" s="24"/>
      <c r="D50" s="24"/>
      <c r="E50" s="24"/>
      <c r="F50" s="24"/>
      <c r="G50" s="24"/>
      <c r="H50" s="24"/>
      <c r="I50" s="24"/>
    </row>
    <row r="51" ht="14.5" customHeight="1">
      <c r="A51" s="9"/>
      <c r="B51" t="s" s="10">
        <v>46</v>
      </c>
      <c r="C51" s="11"/>
      <c r="D51" s="11"/>
      <c r="E51" s="11"/>
      <c r="F51" s="11"/>
      <c r="G51" s="11"/>
      <c r="H51" s="12"/>
      <c r="I51" s="13"/>
    </row>
    <row r="52" ht="16.5" customHeight="1">
      <c r="A52" s="9"/>
      <c r="B52" t="s" s="14">
        <v>7</v>
      </c>
      <c r="C52" t="s" s="15">
        <v>8</v>
      </c>
      <c r="D52" t="s" s="15">
        <v>9</v>
      </c>
      <c r="E52" t="s" s="15">
        <v>10</v>
      </c>
      <c r="F52" t="s" s="15">
        <v>11</v>
      </c>
      <c r="G52" t="s" s="15">
        <v>12</v>
      </c>
      <c r="H52" t="s" s="15">
        <v>13</v>
      </c>
      <c r="I52" t="s" s="15">
        <v>14</v>
      </c>
    </row>
    <row r="53" ht="16" customHeight="1">
      <c r="A53" s="16"/>
      <c r="B53" t="s" s="17">
        <v>17</v>
      </c>
      <c r="C53" s="19"/>
      <c r="D53" s="19"/>
      <c r="E53" s="19"/>
      <c r="F53" s="19"/>
      <c r="G53" s="18" cm="1">
        <f t="array" ref="G53">SUM(C53:F53)</f>
        <v>0</v>
      </c>
      <c r="H53" s="18" cm="1">
        <f t="array" ref="H53">H38+G53</f>
        <v>21</v>
      </c>
      <c r="I53" s="19"/>
    </row>
    <row r="54" ht="16" customHeight="1">
      <c r="A54" s="16"/>
      <c r="B54" t="s" s="17">
        <v>20</v>
      </c>
      <c r="C54" s="19"/>
      <c r="D54" s="19"/>
      <c r="E54" s="19"/>
      <c r="F54" s="19"/>
      <c r="G54" s="18" cm="1">
        <f t="array" ref="G54">SUM(C54:F54)</f>
        <v>0</v>
      </c>
      <c r="H54" s="18" cm="1">
        <f t="array" ref="H54">H44+G54</f>
        <v>16</v>
      </c>
      <c r="I54" s="19"/>
    </row>
    <row r="55" ht="16" customHeight="1">
      <c r="A55" s="16"/>
      <c r="B55" t="s" s="17">
        <v>16</v>
      </c>
      <c r="C55" s="19"/>
      <c r="D55" s="19"/>
      <c r="E55" s="19"/>
      <c r="F55" s="19"/>
      <c r="G55" s="18" cm="1">
        <f t="array" ref="G55">SUM(C55:F55)</f>
        <v>0</v>
      </c>
      <c r="H55" s="18" cm="1">
        <f t="array" ref="H55">H41+G55</f>
        <v>18.5</v>
      </c>
      <c r="I55" s="19"/>
    </row>
    <row r="56" ht="16" customHeight="1">
      <c r="A56" s="16"/>
      <c r="B56" t="s" s="17">
        <v>23</v>
      </c>
      <c r="C56" s="19"/>
      <c r="D56" s="19"/>
      <c r="E56" s="19"/>
      <c r="F56" s="19"/>
      <c r="G56" s="18" cm="1">
        <f t="array" ref="G56">SUM(C56:F56)</f>
        <v>0</v>
      </c>
      <c r="H56" s="18" cm="1">
        <f t="array" ref="H56">H39+G56</f>
        <v>31</v>
      </c>
      <c r="I56" s="19"/>
    </row>
    <row r="57" ht="16" customHeight="1">
      <c r="A57" s="16"/>
      <c r="B57" t="s" s="17">
        <v>19</v>
      </c>
      <c r="C57" s="19"/>
      <c r="D57" s="19"/>
      <c r="E57" s="19"/>
      <c r="F57" s="19"/>
      <c r="G57" s="18" cm="1">
        <f t="array" ref="G57">SUM(C57:F57)</f>
        <v>0</v>
      </c>
      <c r="H57" s="18" cm="1">
        <f t="array" ref="H57">H43+G57</f>
        <v>41</v>
      </c>
      <c r="I57" s="19"/>
    </row>
    <row r="58" ht="16" customHeight="1">
      <c r="A58" s="16"/>
      <c r="B58" t="s" s="17">
        <v>21</v>
      </c>
      <c r="C58" s="19"/>
      <c r="D58" s="19"/>
      <c r="E58" s="19"/>
      <c r="F58" s="19"/>
      <c r="G58" s="18" cm="1">
        <f t="array" ref="G58">SUM(C58:F58)</f>
        <v>0</v>
      </c>
      <c r="H58" s="18" cm="1">
        <f t="array" ref="H58">H40+G58</f>
        <v>0</v>
      </c>
      <c r="I58" s="19"/>
    </row>
    <row r="59" ht="16" customHeight="1">
      <c r="A59" s="16"/>
      <c r="B59" t="s" s="17">
        <v>24</v>
      </c>
      <c r="C59" s="19"/>
      <c r="D59" s="19"/>
      <c r="E59" s="19"/>
      <c r="F59" s="19"/>
      <c r="G59" s="18" cm="1">
        <f t="array" ref="G59">SUM(C59:F59)</f>
        <v>0</v>
      </c>
      <c r="H59" s="18" cm="1">
        <f t="array" ref="H59">H42+G59</f>
        <v>0</v>
      </c>
      <c r="I59" s="19"/>
    </row>
    <row r="60" ht="16" customHeight="1">
      <c r="A60" s="16"/>
      <c r="B60" t="s" s="17">
        <v>18</v>
      </c>
      <c r="C60" s="19"/>
      <c r="D60" s="19"/>
      <c r="E60" s="19"/>
      <c r="F60" s="19"/>
      <c r="G60" s="18" cm="1">
        <f t="array" ref="G60">SUM(C60:F60)</f>
        <v>0</v>
      </c>
      <c r="H60" s="18" cm="1">
        <f t="array" ref="H60">H45+G60</f>
        <v>29</v>
      </c>
      <c r="I60" s="19"/>
    </row>
    <row r="61" ht="16" customHeight="1">
      <c r="A61" s="16"/>
      <c r="B61" t="s" s="17">
        <v>25</v>
      </c>
      <c r="C61" s="19"/>
      <c r="D61" s="19"/>
      <c r="E61" s="19"/>
      <c r="F61" s="19"/>
      <c r="G61" s="18" cm="1">
        <f t="array" ref="G61">SUM(C61:F61)</f>
        <v>0</v>
      </c>
      <c r="H61" s="18" cm="1">
        <f t="array" ref="H61">H46+G61</f>
        <v>18.5</v>
      </c>
      <c r="I61" s="19"/>
    </row>
    <row r="62" ht="16" customHeight="1">
      <c r="A62" s="16"/>
      <c r="B62" t="s" s="17">
        <v>15</v>
      </c>
      <c r="C62" s="19"/>
      <c r="D62" s="19"/>
      <c r="E62" s="19"/>
      <c r="F62" s="19"/>
      <c r="G62" s="18" cm="1">
        <f t="array" ref="G62">SUM(C62:F62)</f>
        <v>0</v>
      </c>
      <c r="H62" s="18" cm="1">
        <f t="array" ref="H62">H47+G62</f>
        <v>4</v>
      </c>
      <c r="I62" s="19"/>
    </row>
    <row r="63" ht="16" customHeight="1">
      <c r="A63" s="16"/>
      <c r="B63" t="s" s="17">
        <v>22</v>
      </c>
      <c r="C63" s="48"/>
      <c r="D63" s="19"/>
      <c r="E63" s="19"/>
      <c r="F63" s="19"/>
      <c r="G63" s="18" cm="1">
        <f t="array" ref="G63">SUM(C63:F63)</f>
        <v>0</v>
      </c>
      <c r="H63" s="18" cm="1">
        <f t="array" ref="H63">H48+G63</f>
        <v>0</v>
      </c>
      <c r="I63" s="19"/>
    </row>
    <row r="64" ht="16" customHeight="1">
      <c r="A64" s="16"/>
      <c r="B64" t="s" s="21">
        <v>26</v>
      </c>
      <c r="C64" s="22" cm="1">
        <f t="array" ref="C64">SUM(C53:C63)</f>
        <v>0</v>
      </c>
      <c r="D64" s="22" cm="1">
        <f t="array" ref="D64">SUM(D53:D63)</f>
        <v>0</v>
      </c>
      <c r="E64" s="22" cm="1">
        <f t="array" ref="E64">SUM(E53:E63)</f>
        <v>0</v>
      </c>
      <c r="F64" s="22" cm="1">
        <f t="array" ref="F64">SUM(F53:F63)</f>
        <v>0</v>
      </c>
      <c r="G64" s="22" cm="1">
        <f t="array" ref="G64">SUM(G53:G63)</f>
        <v>0</v>
      </c>
      <c r="H64" s="22" cm="1">
        <f t="array" ref="H64">SUM(H53:H63)</f>
        <v>179</v>
      </c>
      <c r="I64" s="23"/>
    </row>
    <row r="65" ht="16" customHeight="1">
      <c r="A65" s="7"/>
      <c r="B65" s="25"/>
      <c r="C65" s="25"/>
      <c r="D65" s="25"/>
      <c r="E65" s="25"/>
      <c r="F65" s="25"/>
      <c r="G65" s="25"/>
      <c r="H65" s="25"/>
      <c r="I65" s="25"/>
    </row>
    <row r="66" ht="16" customHeight="1">
      <c r="A66" s="7"/>
      <c r="B66" t="s" s="26">
        <v>32</v>
      </c>
      <c r="C66" s="27"/>
      <c r="D66" s="27"/>
      <c r="E66" s="27"/>
      <c r="F66" s="27"/>
      <c r="G66" s="27"/>
      <c r="H66" s="27"/>
      <c r="I66" s="27"/>
    </row>
    <row r="67" ht="16" customHeight="1">
      <c r="A67" s="7"/>
      <c r="B67" s="27"/>
      <c r="C67" s="27"/>
      <c r="D67" s="27"/>
      <c r="E67" s="27"/>
      <c r="F67" s="27"/>
      <c r="G67" s="27"/>
      <c r="H67" s="27"/>
      <c r="I67" s="27"/>
    </row>
  </sheetData>
  <mergeCells count="7">
    <mergeCell ref="B36:I36"/>
    <mergeCell ref="B51:I51"/>
    <mergeCell ref="B66:I67"/>
    <mergeCell ref="B2:I2"/>
    <mergeCell ref="B4:I4"/>
    <mergeCell ref="B6:I6"/>
    <mergeCell ref="B21:I2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I80"/>
  <sheetViews>
    <sheetView workbookViewId="0" showGridLines="0" defaultGridColor="1"/>
  </sheetViews>
  <sheetFormatPr defaultColWidth="9.16667" defaultRowHeight="14" customHeight="1" outlineLevelRow="0" outlineLevelCol="0"/>
  <cols>
    <col min="1" max="1" width="1.67188" style="49" customWidth="1"/>
    <col min="2" max="9" width="20.6719" style="49" customWidth="1"/>
    <col min="10" max="16384" width="9.17188" style="49" customWidth="1"/>
  </cols>
  <sheetData>
    <row r="1" ht="14.5" customHeight="1">
      <c r="A1" s="7"/>
      <c r="B1" s="8"/>
      <c r="C1" s="8"/>
      <c r="D1" s="8"/>
      <c r="E1" s="8"/>
      <c r="F1" s="8"/>
      <c r="G1" s="8"/>
      <c r="H1" s="8"/>
      <c r="I1" s="8"/>
    </row>
    <row r="2" ht="14.5" customHeight="1">
      <c r="A2" s="9"/>
      <c r="B2" t="s" s="10">
        <v>48</v>
      </c>
      <c r="C2" s="11"/>
      <c r="D2" s="11"/>
      <c r="E2" s="11"/>
      <c r="F2" s="11"/>
      <c r="G2" s="11"/>
      <c r="H2" s="12"/>
      <c r="I2" s="13"/>
    </row>
    <row r="3" ht="16.5" customHeight="1">
      <c r="A3" s="9"/>
      <c r="B3" t="s" s="14">
        <v>7</v>
      </c>
      <c r="C3" t="s" s="15">
        <v>8</v>
      </c>
      <c r="D3" t="s" s="15">
        <v>9</v>
      </c>
      <c r="E3" t="s" s="15">
        <v>10</v>
      </c>
      <c r="F3" t="s" s="15">
        <v>11</v>
      </c>
      <c r="G3" t="s" s="15">
        <v>12</v>
      </c>
      <c r="H3" t="s" s="15">
        <v>13</v>
      </c>
      <c r="I3" t="s" s="15">
        <v>14</v>
      </c>
    </row>
    <row r="4" ht="16" customHeight="1">
      <c r="A4" s="16"/>
      <c r="B4" t="s" s="17">
        <v>21</v>
      </c>
      <c r="C4" s="18">
        <v>2</v>
      </c>
      <c r="D4" s="18">
        <v>30</v>
      </c>
      <c r="E4" s="19"/>
      <c r="F4" s="19"/>
      <c r="G4" s="18" cm="1">
        <f t="array" ref="G4">SUM(C4:F4)</f>
        <v>32</v>
      </c>
      <c r="H4" s="18" cm="1">
        <f t="array" ref="H4">G4</f>
        <v>32</v>
      </c>
      <c r="I4" s="18">
        <v>1</v>
      </c>
    </row>
    <row r="5" ht="16" customHeight="1">
      <c r="A5" s="16"/>
      <c r="B5" t="s" s="17">
        <v>18</v>
      </c>
      <c r="C5" s="18">
        <v>2</v>
      </c>
      <c r="D5" s="19"/>
      <c r="E5" s="19"/>
      <c r="F5" s="18">
        <v>10</v>
      </c>
      <c r="G5" s="18" cm="1">
        <f t="array" ref="G5">SUM(C5:F5)</f>
        <v>12</v>
      </c>
      <c r="H5" s="18" cm="1">
        <f t="array" ref="H5">G5</f>
        <v>12</v>
      </c>
      <c r="I5" s="18">
        <v>2</v>
      </c>
    </row>
    <row r="6" ht="16" customHeight="1">
      <c r="A6" s="16"/>
      <c r="B6" t="s" s="17">
        <v>19</v>
      </c>
      <c r="C6" s="18">
        <v>2</v>
      </c>
      <c r="D6" s="19"/>
      <c r="E6" s="19"/>
      <c r="F6" s="18">
        <v>5</v>
      </c>
      <c r="G6" s="18" cm="1">
        <f t="array" ref="G6">SUM(C6:F6)</f>
        <v>7</v>
      </c>
      <c r="H6" s="18" cm="1">
        <f t="array" ref="H6">G6</f>
        <v>7</v>
      </c>
      <c r="I6" s="18">
        <v>3</v>
      </c>
    </row>
    <row r="7" ht="16" customHeight="1">
      <c r="A7" s="16"/>
      <c r="B7" t="s" s="17">
        <v>17</v>
      </c>
      <c r="C7" s="18">
        <v>2</v>
      </c>
      <c r="D7" s="19"/>
      <c r="E7" s="19"/>
      <c r="F7" s="19"/>
      <c r="G7" s="18" cm="1">
        <f t="array" ref="G7">SUM(C7:F7)</f>
        <v>2</v>
      </c>
      <c r="H7" s="18" cm="1">
        <f t="array" ref="H7">G7</f>
        <v>2</v>
      </c>
      <c r="I7" s="18">
        <v>4</v>
      </c>
    </row>
    <row r="8" ht="16" customHeight="1">
      <c r="A8" s="16"/>
      <c r="B8" t="s" s="17">
        <v>20</v>
      </c>
      <c r="C8" s="18">
        <v>2</v>
      </c>
      <c r="D8" s="19"/>
      <c r="E8" s="19"/>
      <c r="F8" s="19"/>
      <c r="G8" s="18" cm="1">
        <f t="array" ref="G8">SUM(C8:F8)</f>
        <v>2</v>
      </c>
      <c r="H8" s="18" cm="1">
        <f t="array" ref="H8">G8</f>
        <v>2</v>
      </c>
      <c r="I8" s="18">
        <v>4</v>
      </c>
    </row>
    <row r="9" ht="16" customHeight="1">
      <c r="A9" s="16"/>
      <c r="B9" t="s" s="17">
        <v>16</v>
      </c>
      <c r="C9" s="18">
        <v>2</v>
      </c>
      <c r="D9" s="19"/>
      <c r="E9" s="19"/>
      <c r="F9" s="19"/>
      <c r="G9" s="18" cm="1">
        <f t="array" ref="G9">SUM(C9:F9)</f>
        <v>2</v>
      </c>
      <c r="H9" s="18" cm="1">
        <f t="array" ref="H9">G9</f>
        <v>2</v>
      </c>
      <c r="I9" s="18">
        <v>4</v>
      </c>
    </row>
    <row r="10" ht="16" customHeight="1">
      <c r="A10" s="16"/>
      <c r="B10" t="s" s="17">
        <v>25</v>
      </c>
      <c r="C10" s="18">
        <v>2</v>
      </c>
      <c r="D10" s="19"/>
      <c r="E10" s="19"/>
      <c r="F10" s="19"/>
      <c r="G10" s="18" cm="1">
        <f t="array" ref="G10">SUM(C10:F10)</f>
        <v>2</v>
      </c>
      <c r="H10" s="18" cm="1">
        <f t="array" ref="H10">G10</f>
        <v>2</v>
      </c>
      <c r="I10" s="18">
        <v>4</v>
      </c>
    </row>
    <row r="11" ht="16" customHeight="1">
      <c r="A11" s="16"/>
      <c r="B11" t="s" s="17">
        <v>24</v>
      </c>
      <c r="C11" s="19"/>
      <c r="D11" s="19"/>
      <c r="E11" s="19"/>
      <c r="F11" s="19"/>
      <c r="G11" s="18" cm="1">
        <f t="array" ref="G11">SUM(C11:F11)</f>
        <v>0</v>
      </c>
      <c r="H11" s="18" cm="1">
        <f t="array" ref="H11">G11</f>
        <v>0</v>
      </c>
      <c r="I11" s="18">
        <v>8</v>
      </c>
    </row>
    <row r="12" ht="16" customHeight="1">
      <c r="A12" s="16"/>
      <c r="B12" t="s" s="17">
        <v>23</v>
      </c>
      <c r="C12" s="19"/>
      <c r="D12" s="19"/>
      <c r="E12" s="19"/>
      <c r="F12" s="19"/>
      <c r="G12" s="18" cm="1">
        <f t="array" ref="G12">SUM(C12:F12)</f>
        <v>0</v>
      </c>
      <c r="H12" s="18" cm="1">
        <f t="array" ref="H12">G12</f>
        <v>0</v>
      </c>
      <c r="I12" s="18">
        <v>8</v>
      </c>
    </row>
    <row r="13" ht="16" customHeight="1">
      <c r="A13" s="16"/>
      <c r="B13" t="s" s="17">
        <v>15</v>
      </c>
      <c r="C13" s="19"/>
      <c r="D13" s="19"/>
      <c r="E13" s="19"/>
      <c r="F13" s="19"/>
      <c r="G13" s="18" cm="1">
        <f t="array" ref="G13">SUM(C13:F13)</f>
        <v>0</v>
      </c>
      <c r="H13" s="18" cm="1">
        <f t="array" ref="H13">G13</f>
        <v>0</v>
      </c>
      <c r="I13" s="18">
        <v>8</v>
      </c>
    </row>
    <row r="14" ht="16" customHeight="1">
      <c r="A14" s="16"/>
      <c r="B14" t="s" s="17">
        <v>22</v>
      </c>
      <c r="C14" s="48"/>
      <c r="D14" s="19"/>
      <c r="E14" s="19"/>
      <c r="F14" s="19"/>
      <c r="G14" s="18" cm="1">
        <f t="array" ref="G14">SUM(C14:F14)</f>
        <v>0</v>
      </c>
      <c r="H14" s="18" cm="1">
        <f t="array" ref="H14">G14</f>
        <v>0</v>
      </c>
      <c r="I14" s="18">
        <v>8</v>
      </c>
    </row>
    <row r="15" ht="16" customHeight="1">
      <c r="A15" s="16"/>
      <c r="B15" t="s" s="21">
        <v>26</v>
      </c>
      <c r="C15" s="22" cm="1">
        <f t="array" ref="C15">SUM(C4:C14)</f>
        <v>14</v>
      </c>
      <c r="D15" s="22" cm="1">
        <f t="array" ref="D15">SUM(D4:D14)</f>
        <v>30</v>
      </c>
      <c r="E15" s="22" cm="1">
        <f t="array" ref="E15">SUM(E4:E14)</f>
        <v>0</v>
      </c>
      <c r="F15" s="22" cm="1">
        <f t="array" ref="F15">SUM(F4:F14)</f>
        <v>15</v>
      </c>
      <c r="G15" s="22" cm="1">
        <f t="array" ref="G15">SUM(G4:G14)</f>
        <v>59</v>
      </c>
      <c r="H15" s="22" cm="1">
        <f t="array" ref="H15">SUM(H4:H14)</f>
        <v>59</v>
      </c>
      <c r="I15" s="23"/>
    </row>
    <row r="16" ht="14.5" customHeight="1">
      <c r="A16" s="7"/>
      <c r="B16" s="24"/>
      <c r="C16" s="24"/>
      <c r="D16" s="24"/>
      <c r="E16" s="24"/>
      <c r="F16" s="24"/>
      <c r="G16" s="24"/>
      <c r="H16" s="24"/>
      <c r="I16" s="24"/>
    </row>
    <row r="17" ht="14.5" customHeight="1">
      <c r="A17" s="9"/>
      <c r="B17" t="s" s="10">
        <v>49</v>
      </c>
      <c r="C17" s="11"/>
      <c r="D17" s="11"/>
      <c r="E17" s="11"/>
      <c r="F17" s="11"/>
      <c r="G17" s="11"/>
      <c r="H17" s="12"/>
      <c r="I17" s="13"/>
    </row>
    <row r="18" ht="14.5" customHeight="1">
      <c r="A18" s="7"/>
      <c r="B18" s="47"/>
      <c r="C18" s="47"/>
      <c r="D18" s="47"/>
      <c r="E18" s="47"/>
      <c r="F18" s="47"/>
      <c r="G18" s="47"/>
      <c r="H18" s="47"/>
      <c r="I18" s="47"/>
    </row>
    <row r="19" ht="14.5" customHeight="1">
      <c r="A19" s="9"/>
      <c r="B19" t="s" s="10">
        <v>50</v>
      </c>
      <c r="C19" s="11"/>
      <c r="D19" s="11"/>
      <c r="E19" s="11"/>
      <c r="F19" s="11"/>
      <c r="G19" s="11"/>
      <c r="H19" s="12"/>
      <c r="I19" s="13"/>
    </row>
    <row r="20" ht="16.5" customHeight="1">
      <c r="A20" s="9"/>
      <c r="B20" t="s" s="14">
        <v>7</v>
      </c>
      <c r="C20" t="s" s="15">
        <v>8</v>
      </c>
      <c r="D20" t="s" s="15">
        <v>9</v>
      </c>
      <c r="E20" t="s" s="15">
        <v>10</v>
      </c>
      <c r="F20" t="s" s="15">
        <v>11</v>
      </c>
      <c r="G20" t="s" s="15">
        <v>12</v>
      </c>
      <c r="H20" t="s" s="15">
        <v>13</v>
      </c>
      <c r="I20" t="s" s="15">
        <v>14</v>
      </c>
    </row>
    <row r="21" ht="16" customHeight="1">
      <c r="A21" s="16"/>
      <c r="B21" t="s" s="17">
        <v>21</v>
      </c>
      <c r="C21" s="19"/>
      <c r="D21" s="19"/>
      <c r="E21" s="19"/>
      <c r="F21" s="19"/>
      <c r="G21" s="18" cm="1">
        <f t="array" ref="G21">SUM(C21:F21)</f>
        <v>0</v>
      </c>
      <c r="H21" s="18" cm="1">
        <f t="array" ref="H21">H4+G21</f>
        <v>32</v>
      </c>
      <c r="I21" s="18">
        <v>1</v>
      </c>
    </row>
    <row r="22" ht="16" customHeight="1">
      <c r="A22" s="16"/>
      <c r="B22" t="s" s="17">
        <v>17</v>
      </c>
      <c r="C22" s="18">
        <v>2</v>
      </c>
      <c r="D22" s="18">
        <v>10</v>
      </c>
      <c r="E22" s="18">
        <v>7.5</v>
      </c>
      <c r="F22" s="19"/>
      <c r="G22" s="18" cm="1">
        <f t="array" ref="G22">SUM(C22:F22)</f>
        <v>19.5</v>
      </c>
      <c r="H22" s="18" cm="1">
        <f t="array" ref="H22">H7+G22</f>
        <v>21.5</v>
      </c>
      <c r="I22" s="18">
        <v>2</v>
      </c>
    </row>
    <row r="23" ht="16" customHeight="1">
      <c r="A23" s="16"/>
      <c r="B23" t="s" s="17">
        <v>24</v>
      </c>
      <c r="C23" s="18">
        <v>2</v>
      </c>
      <c r="D23" s="19"/>
      <c r="E23" s="18">
        <v>15</v>
      </c>
      <c r="F23" s="19"/>
      <c r="G23" s="18" cm="1">
        <f t="array" ref="G23">SUM(C23:F23)</f>
        <v>17</v>
      </c>
      <c r="H23" s="18" cm="1">
        <f t="array" ref="H23">G23+H11</f>
        <v>17</v>
      </c>
      <c r="I23" s="18">
        <v>3</v>
      </c>
    </row>
    <row r="24" ht="16" customHeight="1">
      <c r="A24" s="16"/>
      <c r="B24" t="s" s="17">
        <v>18</v>
      </c>
      <c r="C24" s="19"/>
      <c r="D24" s="19"/>
      <c r="E24" s="19"/>
      <c r="F24" s="19"/>
      <c r="G24" s="18" cm="1">
        <f t="array" ref="G24">SUM(C24:F24)</f>
        <v>0</v>
      </c>
      <c r="H24" s="18" cm="1">
        <f t="array" ref="H24">G24+H5</f>
        <v>12</v>
      </c>
      <c r="I24" s="18">
        <v>4</v>
      </c>
    </row>
    <row r="25" ht="16" customHeight="1">
      <c r="A25" s="16"/>
      <c r="B25" t="s" s="17">
        <v>23</v>
      </c>
      <c r="C25" s="18">
        <v>2</v>
      </c>
      <c r="D25" s="19"/>
      <c r="E25" s="18">
        <v>7.5</v>
      </c>
      <c r="F25" s="19"/>
      <c r="G25" s="18" cm="1">
        <f t="array" ref="G25">SUM(C25:F25)</f>
        <v>9.5</v>
      </c>
      <c r="H25" s="18" cm="1">
        <f t="array" ref="H25">G25+H12</f>
        <v>9.5</v>
      </c>
      <c r="I25" s="18">
        <v>5</v>
      </c>
    </row>
    <row r="26" ht="16" customHeight="1">
      <c r="A26" s="16"/>
      <c r="B26" t="s" s="17">
        <v>16</v>
      </c>
      <c r="C26" s="18">
        <v>2</v>
      </c>
      <c r="D26" s="19"/>
      <c r="E26" s="19"/>
      <c r="F26" s="18">
        <v>5</v>
      </c>
      <c r="G26" s="18" cm="1">
        <f t="array" ref="G26">SUM(C26:F26)</f>
        <v>7</v>
      </c>
      <c r="H26" s="18" cm="1">
        <f t="array" ref="H26">H9+G26</f>
        <v>9</v>
      </c>
      <c r="I26" s="18">
        <v>6</v>
      </c>
    </row>
    <row r="27" ht="16" customHeight="1">
      <c r="A27" s="16"/>
      <c r="B27" t="s" s="17">
        <v>19</v>
      </c>
      <c r="C27" s="18">
        <v>2</v>
      </c>
      <c r="D27" s="19"/>
      <c r="E27" s="19"/>
      <c r="F27" s="19"/>
      <c r="G27" s="18" cm="1">
        <f t="array" ref="G27">SUM(C27:F27)</f>
        <v>2</v>
      </c>
      <c r="H27" s="18" cm="1">
        <f t="array" ref="H27">G27+H6</f>
        <v>9</v>
      </c>
      <c r="I27" s="18">
        <v>6</v>
      </c>
    </row>
    <row r="28" ht="16" customHeight="1">
      <c r="A28" s="16"/>
      <c r="B28" t="s" s="17">
        <v>20</v>
      </c>
      <c r="C28" s="18">
        <v>2</v>
      </c>
      <c r="D28" s="19"/>
      <c r="E28" s="19"/>
      <c r="F28" s="19"/>
      <c r="G28" s="18" cm="1">
        <f t="array" ref="G28">SUM(C28:F28)</f>
        <v>2</v>
      </c>
      <c r="H28" s="18" cm="1">
        <f t="array" ref="H28">G28+H8</f>
        <v>4</v>
      </c>
      <c r="I28" s="18">
        <v>7</v>
      </c>
    </row>
    <row r="29" ht="16" customHeight="1">
      <c r="A29" s="16"/>
      <c r="B29" t="s" s="17">
        <v>25</v>
      </c>
      <c r="C29" s="19"/>
      <c r="D29" s="19"/>
      <c r="E29" s="19"/>
      <c r="F29" s="19"/>
      <c r="G29" s="18" cm="1">
        <f t="array" ref="G29">SUM(C29:F29)</f>
        <v>0</v>
      </c>
      <c r="H29" s="18" cm="1">
        <f t="array" ref="H29">H10+G29</f>
        <v>2</v>
      </c>
      <c r="I29" s="18">
        <v>8</v>
      </c>
    </row>
    <row r="30" ht="16" customHeight="1">
      <c r="A30" s="16"/>
      <c r="B30" t="s" s="17">
        <v>15</v>
      </c>
      <c r="C30" s="19"/>
      <c r="D30" s="19"/>
      <c r="E30" s="19"/>
      <c r="F30" s="19"/>
      <c r="G30" s="18" cm="1">
        <f t="array" ref="G30">SUM(C30:F30)</f>
        <v>0</v>
      </c>
      <c r="H30" s="18" cm="1">
        <f t="array" ref="H30">G30+H13</f>
        <v>0</v>
      </c>
      <c r="I30" s="18">
        <v>9</v>
      </c>
    </row>
    <row r="31" ht="16" customHeight="1">
      <c r="A31" s="16"/>
      <c r="B31" t="s" s="17">
        <v>22</v>
      </c>
      <c r="C31" s="48"/>
      <c r="D31" s="19"/>
      <c r="E31" s="19"/>
      <c r="F31" s="19"/>
      <c r="G31" s="18" cm="1">
        <f t="array" ref="G31">SUM(C31:F31)</f>
        <v>0</v>
      </c>
      <c r="H31" s="18" cm="1">
        <f t="array" ref="H31">G31+H14</f>
        <v>0</v>
      </c>
      <c r="I31" s="18">
        <v>9</v>
      </c>
    </row>
    <row r="32" ht="16" customHeight="1">
      <c r="A32" s="16"/>
      <c r="B32" t="s" s="21">
        <v>26</v>
      </c>
      <c r="C32" s="22" cm="1">
        <f t="array" ref="C32">SUM(C21:C31)</f>
        <v>12</v>
      </c>
      <c r="D32" s="22" cm="1">
        <f t="array" ref="D32">SUM(D21:D31)</f>
        <v>10</v>
      </c>
      <c r="E32" s="22" cm="1">
        <f t="array" ref="E32">SUM(E21:E31)</f>
        <v>30</v>
      </c>
      <c r="F32" s="22" cm="1">
        <f t="array" ref="F32">SUM(F21:F31)</f>
        <v>5</v>
      </c>
      <c r="G32" s="22" cm="1">
        <f t="array" ref="G32">SUM(G21:G31)</f>
        <v>57</v>
      </c>
      <c r="H32" s="22" cm="1">
        <f t="array" ref="H32">SUM(H21:H31)</f>
        <v>116</v>
      </c>
      <c r="I32" s="23"/>
    </row>
    <row r="33" ht="14.5" customHeight="1">
      <c r="A33" s="7"/>
      <c r="B33" s="24"/>
      <c r="C33" s="24"/>
      <c r="D33" s="24"/>
      <c r="E33" s="24"/>
      <c r="F33" s="24"/>
      <c r="G33" s="24"/>
      <c r="H33" s="24"/>
      <c r="I33" s="24"/>
    </row>
    <row r="34" ht="14.5" customHeight="1">
      <c r="A34" s="9"/>
      <c r="B34" t="s" s="10">
        <v>51</v>
      </c>
      <c r="C34" s="11"/>
      <c r="D34" s="11"/>
      <c r="E34" s="11"/>
      <c r="F34" s="11"/>
      <c r="G34" s="11"/>
      <c r="H34" s="12"/>
      <c r="I34" s="13"/>
    </row>
    <row r="35" ht="16.5" customHeight="1">
      <c r="A35" s="9"/>
      <c r="B35" t="s" s="14">
        <v>7</v>
      </c>
      <c r="C35" t="s" s="15">
        <v>8</v>
      </c>
      <c r="D35" t="s" s="15">
        <v>9</v>
      </c>
      <c r="E35" t="s" s="15">
        <v>10</v>
      </c>
      <c r="F35" t="s" s="15">
        <v>11</v>
      </c>
      <c r="G35" t="s" s="15">
        <v>12</v>
      </c>
      <c r="H35" t="s" s="15">
        <v>13</v>
      </c>
      <c r="I35" t="s" s="15">
        <v>14</v>
      </c>
    </row>
    <row r="36" ht="16" customHeight="1">
      <c r="A36" s="16"/>
      <c r="B36" t="s" s="17">
        <v>21</v>
      </c>
      <c r="C36" s="19"/>
      <c r="D36" s="19"/>
      <c r="E36" s="19"/>
      <c r="F36" s="19"/>
      <c r="G36" s="18" cm="1">
        <f t="array" ref="G36">SUM(C36:F36)</f>
        <v>0</v>
      </c>
      <c r="H36" s="18" cm="1">
        <f t="array" ref="H36">H21+G36</f>
        <v>32</v>
      </c>
      <c r="I36" s="18">
        <v>1</v>
      </c>
    </row>
    <row r="37" ht="16" customHeight="1">
      <c r="A37" s="16"/>
      <c r="B37" t="s" s="17">
        <v>17</v>
      </c>
      <c r="C37" s="18">
        <v>2</v>
      </c>
      <c r="D37" s="19"/>
      <c r="E37" s="18" cm="1">
        <f t="array" ref="E37">7.5</f>
        <v>7.5</v>
      </c>
      <c r="F37" s="19"/>
      <c r="G37" s="18" cm="1">
        <f t="array" ref="G37">SUM(C37:F37)</f>
        <v>9.5</v>
      </c>
      <c r="H37" s="18" cm="1">
        <f t="array" ref="H37">H22+G37</f>
        <v>31</v>
      </c>
      <c r="I37" s="18">
        <v>2</v>
      </c>
    </row>
    <row r="38" ht="16" customHeight="1">
      <c r="A38" s="16"/>
      <c r="B38" t="s" s="17">
        <v>16</v>
      </c>
      <c r="C38" s="18">
        <v>2</v>
      </c>
      <c r="D38" s="19"/>
      <c r="E38" s="18" cm="1">
        <f t="array" ref="E38">7.5+7.5</f>
        <v>15</v>
      </c>
      <c r="F38" s="19"/>
      <c r="G38" s="18" cm="1">
        <f t="array" ref="G38">SUM(C38:F38)</f>
        <v>17</v>
      </c>
      <c r="H38" s="18" cm="1">
        <f t="array" ref="H38">H26+G38</f>
        <v>26</v>
      </c>
      <c r="I38" s="18">
        <v>3</v>
      </c>
    </row>
    <row r="39" ht="16" customHeight="1">
      <c r="A39" s="16"/>
      <c r="B39" t="s" s="17">
        <v>24</v>
      </c>
      <c r="C39" s="18">
        <v>2</v>
      </c>
      <c r="D39" s="19"/>
      <c r="E39" s="19"/>
      <c r="F39" s="18">
        <v>5</v>
      </c>
      <c r="G39" s="18" cm="1">
        <f t="array" ref="G39">SUM(C39:F39)</f>
        <v>7</v>
      </c>
      <c r="H39" s="18" cm="1">
        <f t="array" ref="H39">H23+G39</f>
        <v>24</v>
      </c>
      <c r="I39" s="18">
        <v>4</v>
      </c>
    </row>
    <row r="40" ht="16" customHeight="1">
      <c r="A40" s="16"/>
      <c r="B40" t="s" s="17">
        <v>23</v>
      </c>
      <c r="C40" s="18">
        <v>2</v>
      </c>
      <c r="D40" s="18">
        <v>10</v>
      </c>
      <c r="E40" s="19"/>
      <c r="F40" s="19"/>
      <c r="G40" s="18" cm="1">
        <f t="array" ref="G40">SUM(C40:F40)</f>
        <v>12</v>
      </c>
      <c r="H40" s="18" cm="1">
        <f t="array" ref="H40">H25+G40</f>
        <v>21.5</v>
      </c>
      <c r="I40" s="18">
        <v>5</v>
      </c>
    </row>
    <row r="41" ht="16" customHeight="1">
      <c r="A41" s="16"/>
      <c r="B41" t="s" s="17">
        <v>19</v>
      </c>
      <c r="C41" s="18">
        <v>2</v>
      </c>
      <c r="D41" s="19"/>
      <c r="E41" s="18">
        <v>7.5</v>
      </c>
      <c r="F41" s="19"/>
      <c r="G41" s="18" cm="1">
        <f t="array" ref="G41">SUM(C41:F41)</f>
        <v>9.5</v>
      </c>
      <c r="H41" s="18" cm="1">
        <f t="array" ref="H41">H27+G41</f>
        <v>18.5</v>
      </c>
      <c r="I41" s="18">
        <v>6</v>
      </c>
    </row>
    <row r="42" ht="16" customHeight="1">
      <c r="A42" s="16"/>
      <c r="B42" t="s" s="17">
        <v>18</v>
      </c>
      <c r="C42" s="18">
        <v>2</v>
      </c>
      <c r="D42" s="19"/>
      <c r="E42" s="19"/>
      <c r="F42" s="19"/>
      <c r="G42" s="18" cm="1">
        <f t="array" ref="G42">SUM(C42:F42)</f>
        <v>2</v>
      </c>
      <c r="H42" s="18" cm="1">
        <f t="array" ref="H42">H24+G42</f>
        <v>14</v>
      </c>
      <c r="I42" s="18">
        <v>7</v>
      </c>
    </row>
    <row r="43" ht="16" customHeight="1">
      <c r="A43" s="16"/>
      <c r="B43" t="s" s="17">
        <v>20</v>
      </c>
      <c r="C43" s="18">
        <v>2</v>
      </c>
      <c r="D43" s="19"/>
      <c r="E43" s="19"/>
      <c r="F43" s="19"/>
      <c r="G43" s="18" cm="1">
        <f t="array" ref="G43">SUM(C43:F43)</f>
        <v>2</v>
      </c>
      <c r="H43" s="18" cm="1">
        <f t="array" ref="H43">H28+G43</f>
        <v>6</v>
      </c>
      <c r="I43" s="18">
        <v>8</v>
      </c>
    </row>
    <row r="44" ht="16" customHeight="1">
      <c r="A44" s="16"/>
      <c r="B44" t="s" s="17">
        <v>25</v>
      </c>
      <c r="C44" s="19"/>
      <c r="D44" s="19"/>
      <c r="E44" s="19"/>
      <c r="F44" s="19"/>
      <c r="G44" s="18" cm="1">
        <f t="array" ref="G44">SUM(C44:F44)</f>
        <v>0</v>
      </c>
      <c r="H44" s="18" cm="1">
        <f t="array" ref="H44">H29+G44</f>
        <v>2</v>
      </c>
      <c r="I44" s="18">
        <v>9</v>
      </c>
    </row>
    <row r="45" ht="16" customHeight="1">
      <c r="A45" s="16"/>
      <c r="B45" t="s" s="17">
        <v>15</v>
      </c>
      <c r="C45" s="19"/>
      <c r="D45" s="19"/>
      <c r="E45" s="19"/>
      <c r="F45" s="19"/>
      <c r="G45" s="18" cm="1">
        <f t="array" ref="G45">SUM(C45:F45)</f>
        <v>0</v>
      </c>
      <c r="H45" s="18" cm="1">
        <f t="array" ref="H45">H30+G45</f>
        <v>0</v>
      </c>
      <c r="I45" s="18">
        <v>10</v>
      </c>
    </row>
    <row r="46" ht="16" customHeight="1">
      <c r="A46" s="16"/>
      <c r="B46" t="s" s="17">
        <v>22</v>
      </c>
      <c r="C46" s="48"/>
      <c r="D46" s="19"/>
      <c r="E46" s="19"/>
      <c r="F46" s="19"/>
      <c r="G46" s="18" cm="1">
        <f t="array" ref="G46">SUM(C46:F46)</f>
        <v>0</v>
      </c>
      <c r="H46" s="18" cm="1">
        <f t="array" ref="H46">H31+G46</f>
        <v>0</v>
      </c>
      <c r="I46" s="18">
        <v>10</v>
      </c>
    </row>
    <row r="47" ht="16" customHeight="1">
      <c r="A47" s="16"/>
      <c r="B47" t="s" s="21">
        <v>26</v>
      </c>
      <c r="C47" s="22" cm="1">
        <f t="array" ref="C47">SUM(C36:C46)</f>
        <v>14</v>
      </c>
      <c r="D47" s="22" cm="1">
        <f t="array" ref="D47">SUM(D36:D46)</f>
        <v>10</v>
      </c>
      <c r="E47" s="22" cm="1">
        <f t="array" ref="E47">SUM(E36:E46)</f>
        <v>30</v>
      </c>
      <c r="F47" s="22" cm="1">
        <f t="array" ref="F47">SUM(F36:F46)</f>
        <v>5</v>
      </c>
      <c r="G47" s="22" cm="1">
        <f t="array" ref="G47">SUM(G36:G46)</f>
        <v>59</v>
      </c>
      <c r="H47" s="22" cm="1">
        <f t="array" ref="H47">SUM(H36:H46)</f>
        <v>175</v>
      </c>
      <c r="I47" s="23"/>
    </row>
    <row r="48" ht="14.5" customHeight="1">
      <c r="A48" s="7"/>
      <c r="B48" s="24"/>
      <c r="C48" s="24"/>
      <c r="D48" s="24"/>
      <c r="E48" s="24"/>
      <c r="F48" s="24"/>
      <c r="G48" s="24"/>
      <c r="H48" s="24"/>
      <c r="I48" s="24"/>
    </row>
    <row r="49" ht="14.5" customHeight="1">
      <c r="A49" s="9"/>
      <c r="B49" t="s" s="10">
        <v>52</v>
      </c>
      <c r="C49" s="11"/>
      <c r="D49" s="11"/>
      <c r="E49" s="11"/>
      <c r="F49" s="11"/>
      <c r="G49" s="11"/>
      <c r="H49" s="12"/>
      <c r="I49" s="13"/>
    </row>
    <row r="50" ht="16.5" customHeight="1">
      <c r="A50" s="9"/>
      <c r="B50" t="s" s="14">
        <v>7</v>
      </c>
      <c r="C50" t="s" s="15">
        <v>8</v>
      </c>
      <c r="D50" t="s" s="15">
        <v>9</v>
      </c>
      <c r="E50" t="s" s="15">
        <v>10</v>
      </c>
      <c r="F50" t="s" s="15">
        <v>11</v>
      </c>
      <c r="G50" t="s" s="15">
        <v>12</v>
      </c>
      <c r="H50" t="s" s="15">
        <v>13</v>
      </c>
      <c r="I50" t="s" s="15">
        <v>14</v>
      </c>
    </row>
    <row r="51" ht="16" customHeight="1">
      <c r="A51" s="16"/>
      <c r="B51" t="s" s="17">
        <v>17</v>
      </c>
      <c r="C51" s="18">
        <v>2</v>
      </c>
      <c r="D51" s="19"/>
      <c r="E51" s="18">
        <v>15</v>
      </c>
      <c r="F51" s="19"/>
      <c r="G51" s="18" cm="1">
        <f t="array" ref="G51">SUM(C51:F51)</f>
        <v>17</v>
      </c>
      <c r="H51" s="18" cm="1">
        <f t="array" ref="H51">H37+G51</f>
        <v>48</v>
      </c>
      <c r="I51" s="18">
        <v>1</v>
      </c>
    </row>
    <row r="52" ht="16" customHeight="1">
      <c r="A52" s="16"/>
      <c r="B52" t="s" s="17">
        <v>23</v>
      </c>
      <c r="C52" s="18">
        <v>2</v>
      </c>
      <c r="D52" s="18">
        <v>10</v>
      </c>
      <c r="E52" s="19"/>
      <c r="F52" s="19"/>
      <c r="G52" s="18" cm="1">
        <f t="array" ref="G52">SUM(C52:F52)</f>
        <v>12</v>
      </c>
      <c r="H52" s="18" cm="1">
        <f t="array" ref="H52">H40+G52</f>
        <v>33.5</v>
      </c>
      <c r="I52" s="18">
        <v>2</v>
      </c>
    </row>
    <row r="53" ht="16" customHeight="1">
      <c r="A53" s="16"/>
      <c r="B53" t="s" s="17">
        <v>21</v>
      </c>
      <c r="C53" s="19"/>
      <c r="D53" s="19"/>
      <c r="E53" s="19"/>
      <c r="F53" s="19"/>
      <c r="G53" s="18" cm="1">
        <f t="array" ref="G53">SUM(C53:F53)</f>
        <v>0</v>
      </c>
      <c r="H53" s="18" cm="1">
        <f t="array" ref="H53">H36+G53</f>
        <v>32</v>
      </c>
      <c r="I53" s="18">
        <v>3</v>
      </c>
    </row>
    <row r="54" ht="16" customHeight="1">
      <c r="A54" s="16"/>
      <c r="B54" t="s" s="17">
        <v>16</v>
      </c>
      <c r="C54" s="18">
        <v>2</v>
      </c>
      <c r="D54" s="19"/>
      <c r="E54" s="19"/>
      <c r="F54" s="19"/>
      <c r="G54" s="18" cm="1">
        <f t="array" ref="G54">SUM(C54:F54)</f>
        <v>2</v>
      </c>
      <c r="H54" s="18" cm="1">
        <f t="array" ref="H54">H38+G54</f>
        <v>28</v>
      </c>
      <c r="I54" s="18">
        <v>4</v>
      </c>
    </row>
    <row r="55" ht="16" customHeight="1">
      <c r="A55" s="16"/>
      <c r="B55" t="s" s="17">
        <v>24</v>
      </c>
      <c r="C55" s="18">
        <v>2</v>
      </c>
      <c r="D55" s="19"/>
      <c r="E55" s="19"/>
      <c r="F55" s="19"/>
      <c r="G55" s="18" cm="1">
        <f t="array" ref="G55">SUM(C55:F55)</f>
        <v>2</v>
      </c>
      <c r="H55" s="18" cm="1">
        <f t="array" ref="H55">H39+G55</f>
        <v>26</v>
      </c>
      <c r="I55" s="18">
        <v>5</v>
      </c>
    </row>
    <row r="56" ht="16" customHeight="1">
      <c r="A56" s="16"/>
      <c r="B56" t="s" s="17">
        <v>19</v>
      </c>
      <c r="C56" s="18">
        <v>2</v>
      </c>
      <c r="D56" s="19"/>
      <c r="E56" s="18">
        <v>5</v>
      </c>
      <c r="F56" s="19"/>
      <c r="G56" s="18" cm="1">
        <f t="array" ref="G56">SUM(C56:F56)</f>
        <v>7</v>
      </c>
      <c r="H56" s="18" cm="1">
        <f t="array" ref="H56">H41+G56</f>
        <v>25.5</v>
      </c>
      <c r="I56" s="18">
        <v>6</v>
      </c>
    </row>
    <row r="57" ht="16" customHeight="1">
      <c r="A57" s="16"/>
      <c r="B57" t="s" s="17">
        <v>20</v>
      </c>
      <c r="C57" s="18">
        <v>2</v>
      </c>
      <c r="D57" s="19"/>
      <c r="E57" s="18">
        <v>15</v>
      </c>
      <c r="F57" s="19"/>
      <c r="G57" s="18" cm="1">
        <f t="array" ref="G57">SUM(C57:F57)</f>
        <v>17</v>
      </c>
      <c r="H57" s="18" cm="1">
        <f t="array" ref="H57">H43+G57</f>
        <v>23</v>
      </c>
      <c r="I57" s="18">
        <v>7</v>
      </c>
    </row>
    <row r="58" ht="16" customHeight="1">
      <c r="A58" s="16"/>
      <c r="B58" t="s" s="17">
        <v>18</v>
      </c>
      <c r="C58" s="18">
        <v>2</v>
      </c>
      <c r="D58" s="19"/>
      <c r="E58" s="19"/>
      <c r="F58" s="19"/>
      <c r="G58" s="18" cm="1">
        <f t="array" ref="G58">SUM(C58:F58)</f>
        <v>2</v>
      </c>
      <c r="H58" s="18" cm="1">
        <f t="array" ref="H58">H42+G58</f>
        <v>16</v>
      </c>
      <c r="I58" s="18">
        <v>8</v>
      </c>
    </row>
    <row r="59" ht="16" customHeight="1">
      <c r="A59" s="16"/>
      <c r="B59" t="s" s="17">
        <v>25</v>
      </c>
      <c r="C59" s="19"/>
      <c r="D59" s="19"/>
      <c r="E59" s="19"/>
      <c r="F59" s="19"/>
      <c r="G59" s="18" cm="1">
        <f t="array" ref="G59">SUM(C59:F59)</f>
        <v>0</v>
      </c>
      <c r="H59" s="18" cm="1">
        <f t="array" ref="H59">H44+G59</f>
        <v>2</v>
      </c>
      <c r="I59" s="18">
        <v>9</v>
      </c>
    </row>
    <row r="60" ht="16" customHeight="1">
      <c r="A60" s="16"/>
      <c r="B60" t="s" s="17">
        <v>15</v>
      </c>
      <c r="C60" s="19"/>
      <c r="D60" s="19"/>
      <c r="E60" s="19"/>
      <c r="F60" s="19"/>
      <c r="G60" s="18" cm="1">
        <f t="array" ref="G60">SUM(C60:F60)</f>
        <v>0</v>
      </c>
      <c r="H60" s="18" cm="1">
        <f t="array" ref="H60">H45+G60</f>
        <v>0</v>
      </c>
      <c r="I60" s="18">
        <v>10</v>
      </c>
    </row>
    <row r="61" ht="16" customHeight="1">
      <c r="A61" s="16"/>
      <c r="B61" t="s" s="17">
        <v>22</v>
      </c>
      <c r="C61" s="48"/>
      <c r="D61" s="19"/>
      <c r="E61" s="19"/>
      <c r="F61" s="19"/>
      <c r="G61" s="18" cm="1">
        <f t="array" ref="G61">SUM(C61:F61)</f>
        <v>0</v>
      </c>
      <c r="H61" s="18" cm="1">
        <f t="array" ref="H61">H46+G61</f>
        <v>0</v>
      </c>
      <c r="I61" s="18">
        <v>10</v>
      </c>
    </row>
    <row r="62" ht="16" customHeight="1">
      <c r="A62" s="16"/>
      <c r="B62" t="s" s="21">
        <v>26</v>
      </c>
      <c r="C62" s="22" cm="1">
        <f t="array" ref="C62">SUM(C51:C61)</f>
        <v>14</v>
      </c>
      <c r="D62" s="22" cm="1">
        <f t="array" ref="D62">SUM(D51:D61)</f>
        <v>10</v>
      </c>
      <c r="E62" s="22" cm="1">
        <f t="array" ref="E62">SUM(E51:E61)</f>
        <v>35</v>
      </c>
      <c r="F62" s="22" cm="1">
        <f t="array" ref="F62">SUM(F51:F61)</f>
        <v>0</v>
      </c>
      <c r="G62" s="22" cm="1">
        <f t="array" ref="G62">SUM(G51:G61)</f>
        <v>59</v>
      </c>
      <c r="H62" s="22" cm="1">
        <f t="array" ref="H62">SUM(H51:H61)</f>
        <v>234</v>
      </c>
      <c r="I62" s="23"/>
    </row>
    <row r="63" ht="14.5" customHeight="1">
      <c r="A63" s="7"/>
      <c r="B63" s="24"/>
      <c r="C63" s="24"/>
      <c r="D63" s="24"/>
      <c r="E63" s="24"/>
      <c r="F63" s="24"/>
      <c r="G63" s="24"/>
      <c r="H63" s="24"/>
      <c r="I63" s="24"/>
    </row>
    <row r="64" ht="14.5" customHeight="1">
      <c r="A64" s="9"/>
      <c r="B64" t="s" s="10">
        <v>53</v>
      </c>
      <c r="C64" s="11"/>
      <c r="D64" s="11"/>
      <c r="E64" s="11"/>
      <c r="F64" s="11"/>
      <c r="G64" s="11"/>
      <c r="H64" s="12"/>
      <c r="I64" s="13"/>
    </row>
    <row r="65" ht="16.5" customHeight="1">
      <c r="A65" s="9"/>
      <c r="B65" t="s" s="14">
        <v>7</v>
      </c>
      <c r="C65" t="s" s="15">
        <v>8</v>
      </c>
      <c r="D65" t="s" s="15">
        <v>9</v>
      </c>
      <c r="E65" t="s" s="15">
        <v>10</v>
      </c>
      <c r="F65" t="s" s="15">
        <v>11</v>
      </c>
      <c r="G65" t="s" s="15">
        <v>12</v>
      </c>
      <c r="H65" t="s" s="15">
        <v>13</v>
      </c>
      <c r="I65" t="s" s="15">
        <v>14</v>
      </c>
    </row>
    <row r="66" ht="16" customHeight="1">
      <c r="A66" s="16"/>
      <c r="B66" t="s" s="17">
        <v>17</v>
      </c>
      <c r="C66" s="18">
        <v>2</v>
      </c>
      <c r="D66" s="19"/>
      <c r="E66" s="18">
        <v>2.5</v>
      </c>
      <c r="F66" s="19"/>
      <c r="G66" s="18" cm="1">
        <f t="array" ref="G66">SUM(C66:F66)</f>
        <v>4.5</v>
      </c>
      <c r="H66" s="18" cm="1">
        <f t="array" ref="H66">H51+G66</f>
        <v>52.5</v>
      </c>
      <c r="I66" s="18">
        <v>1</v>
      </c>
    </row>
    <row r="67" ht="16" customHeight="1">
      <c r="A67" s="16"/>
      <c r="B67" t="s" s="17">
        <v>20</v>
      </c>
      <c r="C67" s="18">
        <v>2</v>
      </c>
      <c r="D67" s="18">
        <v>20</v>
      </c>
      <c r="E67" s="18">
        <v>7.5</v>
      </c>
      <c r="F67" s="19"/>
      <c r="G67" s="18" cm="1">
        <f t="array" ref="G67">SUM(C67:F67)</f>
        <v>29.5</v>
      </c>
      <c r="H67" s="18" cm="1">
        <f t="array" ref="H67">H57+G67</f>
        <v>52.5</v>
      </c>
      <c r="I67" s="18">
        <v>1</v>
      </c>
    </row>
    <row r="68" ht="16" customHeight="1">
      <c r="A68" s="16"/>
      <c r="B68" t="s" s="17">
        <v>16</v>
      </c>
      <c r="C68" s="18">
        <v>2</v>
      </c>
      <c r="D68" s="19"/>
      <c r="E68" s="18">
        <v>2.5</v>
      </c>
      <c r="F68" s="18">
        <v>5</v>
      </c>
      <c r="G68" s="18" cm="1">
        <f t="array" ref="G68">SUM(C68:F68)</f>
        <v>9.5</v>
      </c>
      <c r="H68" s="18" cm="1">
        <f t="array" ref="H68">H54+G68</f>
        <v>37.5</v>
      </c>
      <c r="I68" s="18">
        <v>3</v>
      </c>
    </row>
    <row r="69" ht="16" customHeight="1">
      <c r="A69" s="16"/>
      <c r="B69" t="s" s="17">
        <v>23</v>
      </c>
      <c r="C69" s="18">
        <v>2</v>
      </c>
      <c r="D69" s="19"/>
      <c r="E69" s="19"/>
      <c r="F69" s="19"/>
      <c r="G69" s="18" cm="1">
        <f t="array" ref="G69">SUM(C69:F69)</f>
        <v>2</v>
      </c>
      <c r="H69" s="18" cm="1">
        <f t="array" ref="H69">H52+G69</f>
        <v>35.5</v>
      </c>
      <c r="I69" s="18">
        <v>4</v>
      </c>
    </row>
    <row r="70" ht="16" customHeight="1">
      <c r="A70" s="16"/>
      <c r="B70" t="s" s="17">
        <v>19</v>
      </c>
      <c r="C70" s="18">
        <v>2</v>
      </c>
      <c r="D70" s="19"/>
      <c r="E70" s="18">
        <v>7.5</v>
      </c>
      <c r="F70" s="19"/>
      <c r="G70" s="18" cm="1">
        <f t="array" ref="G70">SUM(C70:F70)</f>
        <v>9.5</v>
      </c>
      <c r="H70" s="18" cm="1">
        <f t="array" ref="H70">H56+G70</f>
        <v>35</v>
      </c>
      <c r="I70" s="18">
        <v>5</v>
      </c>
    </row>
    <row r="71" ht="16" customHeight="1">
      <c r="A71" s="16"/>
      <c r="B71" t="s" s="17">
        <v>21</v>
      </c>
      <c r="C71" s="19"/>
      <c r="D71" s="19"/>
      <c r="E71" s="19"/>
      <c r="F71" s="19"/>
      <c r="G71" s="18" cm="1">
        <f t="array" ref="G71">SUM(C71:F71)</f>
        <v>0</v>
      </c>
      <c r="H71" s="18" cm="1">
        <f t="array" ref="H71">H53+G71</f>
        <v>32</v>
      </c>
      <c r="I71" s="18">
        <v>6</v>
      </c>
    </row>
    <row r="72" ht="16" customHeight="1">
      <c r="A72" s="16"/>
      <c r="B72" t="s" s="17">
        <v>24</v>
      </c>
      <c r="C72" s="19"/>
      <c r="D72" s="19"/>
      <c r="E72" s="19"/>
      <c r="F72" s="19"/>
      <c r="G72" s="18" cm="1">
        <f t="array" ref="G72">SUM(C72:F72)</f>
        <v>0</v>
      </c>
      <c r="H72" s="18" cm="1">
        <f t="array" ref="H72">H55+G72</f>
        <v>26</v>
      </c>
      <c r="I72" s="18">
        <v>7</v>
      </c>
    </row>
    <row r="73" ht="16" customHeight="1">
      <c r="A73" s="16"/>
      <c r="B73" t="s" s="17">
        <v>18</v>
      </c>
      <c r="C73" s="18">
        <v>2</v>
      </c>
      <c r="D73" s="19"/>
      <c r="E73" s="19"/>
      <c r="F73" s="19"/>
      <c r="G73" s="18" cm="1">
        <f t="array" ref="G73">SUM(C73:F73)</f>
        <v>2</v>
      </c>
      <c r="H73" s="18" cm="1">
        <f t="array" ref="H73">H58+G73</f>
        <v>18</v>
      </c>
      <c r="I73" s="18">
        <v>8</v>
      </c>
    </row>
    <row r="74" ht="16" customHeight="1">
      <c r="A74" s="16"/>
      <c r="B74" t="s" s="17">
        <v>25</v>
      </c>
      <c r="C74" s="19"/>
      <c r="D74" s="19"/>
      <c r="E74" s="19"/>
      <c r="F74" s="19"/>
      <c r="G74" s="18" cm="1">
        <f t="array" ref="G74">SUM(C74:F74)</f>
        <v>0</v>
      </c>
      <c r="H74" s="18" cm="1">
        <f t="array" ref="H74">H59+G74</f>
        <v>2</v>
      </c>
      <c r="I74" s="18">
        <v>9</v>
      </c>
    </row>
    <row r="75" ht="16" customHeight="1">
      <c r="A75" s="16"/>
      <c r="B75" t="s" s="17">
        <v>15</v>
      </c>
      <c r="C75" s="19"/>
      <c r="D75" s="19"/>
      <c r="E75" s="19"/>
      <c r="F75" s="19"/>
      <c r="G75" s="18" cm="1">
        <f t="array" ref="G75">SUM(C75:F75)</f>
        <v>0</v>
      </c>
      <c r="H75" s="18" cm="1">
        <f t="array" ref="H75">H60+G75</f>
        <v>0</v>
      </c>
      <c r="I75" s="18">
        <v>10</v>
      </c>
    </row>
    <row r="76" ht="16" customHeight="1">
      <c r="A76" s="16"/>
      <c r="B76" t="s" s="17">
        <v>22</v>
      </c>
      <c r="C76" s="48"/>
      <c r="D76" s="19"/>
      <c r="E76" s="19"/>
      <c r="F76" s="19"/>
      <c r="G76" s="18" cm="1">
        <f t="array" ref="G76">SUM(C76:F76)</f>
        <v>0</v>
      </c>
      <c r="H76" s="18" cm="1">
        <f t="array" ref="H76">H61+G76</f>
        <v>0</v>
      </c>
      <c r="I76" s="18">
        <v>10</v>
      </c>
    </row>
    <row r="77" ht="16" customHeight="1">
      <c r="A77" s="16"/>
      <c r="B77" t="s" s="21">
        <v>26</v>
      </c>
      <c r="C77" s="22" cm="1">
        <f t="array" ref="C77">SUM(C66:C76)</f>
        <v>12</v>
      </c>
      <c r="D77" s="22" cm="1">
        <f t="array" ref="D77">SUM(D66:D76)</f>
        <v>20</v>
      </c>
      <c r="E77" s="22" cm="1">
        <f t="array" ref="E77">SUM(E66:E76)</f>
        <v>20</v>
      </c>
      <c r="F77" s="22" cm="1">
        <f t="array" ref="F77">SUM(F66:F76)</f>
        <v>5</v>
      </c>
      <c r="G77" s="22" cm="1">
        <f t="array" ref="G77">SUM(G66:G76)</f>
        <v>57</v>
      </c>
      <c r="H77" s="22" cm="1">
        <f t="array" ref="H77">SUM(H66:H76)</f>
        <v>291</v>
      </c>
      <c r="I77" s="23"/>
    </row>
    <row r="78" ht="16" customHeight="1">
      <c r="A78" s="7"/>
      <c r="B78" s="25"/>
      <c r="C78" s="25"/>
      <c r="D78" s="25"/>
      <c r="E78" s="25"/>
      <c r="F78" s="25"/>
      <c r="G78" s="25"/>
      <c r="H78" s="25"/>
      <c r="I78" s="25"/>
    </row>
    <row r="79" ht="16" customHeight="1">
      <c r="A79" s="7"/>
      <c r="B79" t="s" s="26">
        <v>32</v>
      </c>
      <c r="C79" s="27"/>
      <c r="D79" s="27"/>
      <c r="E79" s="27"/>
      <c r="F79" s="27"/>
      <c r="G79" s="27"/>
      <c r="H79" s="27"/>
      <c r="I79" s="27"/>
    </row>
    <row r="80" ht="16" customHeight="1">
      <c r="A80" s="7"/>
      <c r="B80" s="27"/>
      <c r="C80" s="27"/>
      <c r="D80" s="27"/>
      <c r="E80" s="27"/>
      <c r="F80" s="27"/>
      <c r="G80" s="27"/>
      <c r="H80" s="27"/>
      <c r="I80" s="27"/>
    </row>
  </sheetData>
  <mergeCells count="7">
    <mergeCell ref="B2:I2"/>
    <mergeCell ref="B79:I80"/>
    <mergeCell ref="B19:I19"/>
    <mergeCell ref="B34:I34"/>
    <mergeCell ref="B49:I49"/>
    <mergeCell ref="B64:I64"/>
    <mergeCell ref="B17:I17"/>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