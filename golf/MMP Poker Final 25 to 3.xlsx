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raithwaite\Desktop\"/>
    </mc:Choice>
  </mc:AlternateContent>
  <xr:revisionPtr revIDLastSave="0" documentId="13_ncr:1_{58AD4D3E-B5D6-4D5A-955F-0D82EC782E14}" xr6:coauthVersionLast="47" xr6:coauthVersionMax="47" xr10:uidLastSave="{00000000-0000-0000-0000-000000000000}"/>
  <bookViews>
    <workbookView xWindow="-110" yWindow="-110" windowWidth="19420" windowHeight="10420" xr2:uid="{22A201A1-6422-4C3C-8A92-0FA4372C1B27}"/>
  </bookViews>
  <sheets>
    <sheet name="Poker_2025_26" sheetId="4" r:id="rId1"/>
    <sheet name="Poker_2024_25" sheetId="5" r:id="rId2"/>
    <sheet name="Poker_2023_24" sheetId="3" r:id="rId3"/>
    <sheet name="Poker_2022_23"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4" l="1"/>
  <c r="H43" i="4"/>
  <c r="H41" i="4"/>
  <c r="H20" i="4"/>
  <c r="H22" i="4"/>
  <c r="H23" i="4"/>
  <c r="H24" i="4"/>
  <c r="H26" i="4"/>
  <c r="H27" i="4"/>
  <c r="H28" i="4"/>
  <c r="H29" i="4"/>
  <c r="H19" i="4"/>
  <c r="G4" i="1"/>
  <c r="H4" i="1"/>
  <c r="G5" i="1"/>
  <c r="H5" i="1"/>
  <c r="G6" i="1"/>
  <c r="H6" i="1"/>
  <c r="G7" i="1"/>
  <c r="H7" i="1"/>
  <c r="G8" i="1"/>
  <c r="H8" i="1"/>
  <c r="G9" i="1"/>
  <c r="H9" i="1"/>
  <c r="G10" i="1"/>
  <c r="H10" i="1"/>
  <c r="G11" i="1"/>
  <c r="H11" i="1"/>
  <c r="G12" i="1"/>
  <c r="H12" i="1"/>
  <c r="G13" i="1"/>
  <c r="H13" i="1"/>
  <c r="G14" i="1"/>
  <c r="H14" i="1"/>
  <c r="C15" i="1"/>
  <c r="D15" i="1"/>
  <c r="E15" i="1"/>
  <c r="F15" i="1"/>
  <c r="G15" i="1"/>
  <c r="H15" i="1"/>
  <c r="G21" i="1"/>
  <c r="H21" i="1"/>
  <c r="G22" i="1"/>
  <c r="H22" i="1"/>
  <c r="G23" i="1"/>
  <c r="H23" i="1"/>
  <c r="G24" i="1"/>
  <c r="H24" i="1"/>
  <c r="G25" i="1"/>
  <c r="H25" i="1"/>
  <c r="G26" i="1"/>
  <c r="H26" i="1"/>
  <c r="G27" i="1"/>
  <c r="H27" i="1"/>
  <c r="G28" i="1"/>
  <c r="H28" i="1"/>
  <c r="G29" i="1"/>
  <c r="H29" i="1"/>
  <c r="G30" i="1"/>
  <c r="H30" i="1"/>
  <c r="G31" i="1"/>
  <c r="H31" i="1"/>
  <c r="C32" i="1"/>
  <c r="D32" i="1"/>
  <c r="E32" i="1"/>
  <c r="F32" i="1"/>
  <c r="G32" i="1"/>
  <c r="H32" i="1"/>
  <c r="G36" i="1"/>
  <c r="H36" i="1"/>
  <c r="E37" i="1"/>
  <c r="G37" i="1"/>
  <c r="H37" i="1"/>
  <c r="E38" i="1"/>
  <c r="G38" i="1"/>
  <c r="H38" i="1"/>
  <c r="G39" i="1"/>
  <c r="H39" i="1"/>
  <c r="G40" i="1"/>
  <c r="H40" i="1"/>
  <c r="G41" i="1"/>
  <c r="H41" i="1"/>
  <c r="G42" i="1"/>
  <c r="H42" i="1"/>
  <c r="G43" i="1"/>
  <c r="H43" i="1"/>
  <c r="G44" i="1"/>
  <c r="H44" i="1"/>
  <c r="G45" i="1"/>
  <c r="H45" i="1"/>
  <c r="G46" i="1"/>
  <c r="H46" i="1"/>
  <c r="C47" i="1"/>
  <c r="D47" i="1"/>
  <c r="E47" i="1"/>
  <c r="F47" i="1"/>
  <c r="G47" i="1"/>
  <c r="H47" i="1"/>
  <c r="G51" i="1"/>
  <c r="H51" i="1"/>
  <c r="G52" i="1"/>
  <c r="H52" i="1"/>
  <c r="G53" i="1"/>
  <c r="H53" i="1"/>
  <c r="G54" i="1"/>
  <c r="H54" i="1"/>
  <c r="G55" i="1"/>
  <c r="H55" i="1"/>
  <c r="G56" i="1"/>
  <c r="H56" i="1"/>
  <c r="G57" i="1"/>
  <c r="H57" i="1"/>
  <c r="G58" i="1"/>
  <c r="H58" i="1"/>
  <c r="G59" i="1"/>
  <c r="H59" i="1"/>
  <c r="G60" i="1"/>
  <c r="H60" i="1"/>
  <c r="G61" i="1"/>
  <c r="H61" i="1"/>
  <c r="C62" i="1"/>
  <c r="D62" i="1"/>
  <c r="E62" i="1"/>
  <c r="F62" i="1"/>
  <c r="G62" i="1"/>
  <c r="H62" i="1"/>
  <c r="G66" i="1"/>
  <c r="H66" i="1"/>
  <c r="G67" i="1"/>
  <c r="H67" i="1"/>
  <c r="G68" i="1"/>
  <c r="H68" i="1"/>
  <c r="G69" i="1"/>
  <c r="H69" i="1"/>
  <c r="G70" i="1"/>
  <c r="H70" i="1"/>
  <c r="G71" i="1"/>
  <c r="H71" i="1"/>
  <c r="G72" i="1"/>
  <c r="H72" i="1"/>
  <c r="G73" i="1"/>
  <c r="H73" i="1"/>
  <c r="G74" i="1"/>
  <c r="H74" i="1"/>
  <c r="G75" i="1"/>
  <c r="H75" i="1"/>
  <c r="G76" i="1"/>
  <c r="H76" i="1"/>
  <c r="C77" i="1"/>
  <c r="D77" i="1"/>
  <c r="E77" i="1"/>
  <c r="F77" i="1"/>
  <c r="G77" i="1"/>
  <c r="H77" i="1"/>
  <c r="G8" i="3"/>
  <c r="H8" i="3"/>
  <c r="G9" i="3"/>
  <c r="H9" i="3"/>
  <c r="G10" i="3"/>
  <c r="H10" i="3"/>
  <c r="G11" i="3"/>
  <c r="H11" i="3"/>
  <c r="G12" i="3"/>
  <c r="H12" i="3"/>
  <c r="G13" i="3"/>
  <c r="H13" i="3"/>
  <c r="G14" i="3"/>
  <c r="H14" i="3"/>
  <c r="G15" i="3"/>
  <c r="H15" i="3"/>
  <c r="G16" i="3"/>
  <c r="H16" i="3"/>
  <c r="G17" i="3"/>
  <c r="H17" i="3"/>
  <c r="G18" i="3"/>
  <c r="H18" i="3"/>
  <c r="C19" i="3"/>
  <c r="D19" i="3"/>
  <c r="E19" i="3"/>
  <c r="F19" i="3"/>
  <c r="G19" i="3"/>
  <c r="H19" i="3"/>
  <c r="G23" i="3"/>
  <c r="H23" i="3"/>
  <c r="G24" i="3"/>
  <c r="H24" i="3"/>
  <c r="G25" i="3"/>
  <c r="H25" i="3"/>
  <c r="G26" i="3"/>
  <c r="H26" i="3"/>
  <c r="G27" i="3"/>
  <c r="H27" i="3"/>
  <c r="G28" i="3"/>
  <c r="H28" i="3"/>
  <c r="G29" i="3"/>
  <c r="H29" i="3"/>
  <c r="G30" i="3"/>
  <c r="H30" i="3"/>
  <c r="G31" i="3"/>
  <c r="H31" i="3"/>
  <c r="G32" i="3"/>
  <c r="H32" i="3"/>
  <c r="G33" i="3"/>
  <c r="H33" i="3"/>
  <c r="C34" i="3"/>
  <c r="D34" i="3"/>
  <c r="E34" i="3"/>
  <c r="F34" i="3"/>
  <c r="G34" i="3"/>
  <c r="H34" i="3"/>
  <c r="G38" i="3"/>
  <c r="H38" i="3"/>
  <c r="G39" i="3"/>
  <c r="H39" i="3"/>
  <c r="G40" i="3"/>
  <c r="H40" i="3"/>
  <c r="G41" i="3"/>
  <c r="H41" i="3"/>
  <c r="G42" i="3"/>
  <c r="H42" i="3"/>
  <c r="G43" i="3"/>
  <c r="H43" i="3"/>
  <c r="G44" i="3"/>
  <c r="H44" i="3"/>
  <c r="G45" i="3"/>
  <c r="H45" i="3"/>
  <c r="G46" i="3"/>
  <c r="H46" i="3"/>
  <c r="G47" i="3"/>
  <c r="H47" i="3"/>
  <c r="G48" i="3"/>
  <c r="H48" i="3"/>
  <c r="C49" i="3"/>
  <c r="D49" i="3"/>
  <c r="E49" i="3"/>
  <c r="F49" i="3"/>
  <c r="G49" i="3"/>
  <c r="H49" i="3"/>
  <c r="G53" i="3"/>
  <c r="H53" i="3"/>
  <c r="G54" i="3"/>
  <c r="H54" i="3"/>
  <c r="G55" i="3"/>
  <c r="H55" i="3"/>
  <c r="G56" i="3"/>
  <c r="H56" i="3"/>
  <c r="G57" i="3"/>
  <c r="H57" i="3"/>
  <c r="G58" i="3"/>
  <c r="H58" i="3"/>
  <c r="G59" i="3"/>
  <c r="H59" i="3"/>
  <c r="G60" i="3"/>
  <c r="H60" i="3"/>
  <c r="G61" i="3"/>
  <c r="H61" i="3"/>
  <c r="G62" i="3"/>
  <c r="H62" i="3"/>
  <c r="G63" i="3"/>
  <c r="H63" i="3"/>
  <c r="C64" i="3"/>
  <c r="D64" i="3"/>
  <c r="E64" i="3"/>
  <c r="F64" i="3"/>
  <c r="G64" i="3"/>
  <c r="H64" i="3"/>
  <c r="G4" i="4"/>
  <c r="H4" i="4"/>
  <c r="G5" i="4"/>
  <c r="H5" i="4"/>
  <c r="G6" i="4"/>
  <c r="H6" i="4"/>
  <c r="G7" i="4"/>
  <c r="H7" i="4"/>
  <c r="G8" i="4"/>
  <c r="H8" i="4"/>
  <c r="G9" i="4"/>
  <c r="H9" i="4"/>
  <c r="G10" i="4"/>
  <c r="H10" i="4"/>
  <c r="G11" i="4"/>
  <c r="H11" i="4"/>
  <c r="G12" i="4"/>
  <c r="H12" i="4"/>
  <c r="G13" i="4"/>
  <c r="H13" i="4"/>
  <c r="G14" i="4"/>
  <c r="H14" i="4"/>
  <c r="C15" i="4"/>
  <c r="D15" i="4"/>
  <c r="E15" i="4"/>
  <c r="F15" i="4"/>
  <c r="G15" i="4"/>
  <c r="H15" i="4"/>
  <c r="G19" i="4"/>
  <c r="G20" i="4"/>
  <c r="G21" i="4"/>
  <c r="H21" i="4" s="1"/>
  <c r="G22" i="4"/>
  <c r="G23" i="4"/>
  <c r="G24" i="4"/>
  <c r="G25" i="4"/>
  <c r="G26" i="4"/>
  <c r="G27" i="4"/>
  <c r="G28" i="4"/>
  <c r="G29" i="4"/>
  <c r="C30" i="4"/>
  <c r="D30" i="4"/>
  <c r="E30" i="4"/>
  <c r="F30" i="4"/>
  <c r="G34" i="4"/>
  <c r="H34" i="4" s="1"/>
  <c r="H49" i="4" s="1"/>
  <c r="H64" i="4" s="1"/>
  <c r="G35" i="4"/>
  <c r="H35" i="4" s="1"/>
  <c r="H50" i="4" s="1"/>
  <c r="H65" i="4" s="1"/>
  <c r="G36" i="4"/>
  <c r="G37" i="4"/>
  <c r="H37" i="4" s="1"/>
  <c r="G38" i="4"/>
  <c r="H38" i="4" s="1"/>
  <c r="G39" i="4"/>
  <c r="H39" i="4" s="1"/>
  <c r="G40" i="4"/>
  <c r="G41" i="4"/>
  <c r="G42" i="4"/>
  <c r="H42" i="4" s="1"/>
  <c r="G43" i="4"/>
  <c r="G44" i="4"/>
  <c r="C45" i="4"/>
  <c r="D45" i="4"/>
  <c r="E45" i="4"/>
  <c r="F45" i="4"/>
  <c r="G49" i="4"/>
  <c r="G50" i="4"/>
  <c r="G51" i="4"/>
  <c r="G52" i="4"/>
  <c r="G53" i="4"/>
  <c r="G54" i="4"/>
  <c r="G55" i="4"/>
  <c r="G56" i="4"/>
  <c r="G57" i="4"/>
  <c r="G58" i="4"/>
  <c r="H58" i="4" s="1"/>
  <c r="H73" i="4" s="1"/>
  <c r="G59" i="4"/>
  <c r="C60" i="4"/>
  <c r="D60" i="4"/>
  <c r="E60" i="4"/>
  <c r="F60" i="4"/>
  <c r="G64" i="4"/>
  <c r="G65" i="4"/>
  <c r="G66" i="4"/>
  <c r="G67" i="4"/>
  <c r="G68" i="4"/>
  <c r="G69" i="4"/>
  <c r="G70" i="4"/>
  <c r="G71" i="4"/>
  <c r="G72" i="4"/>
  <c r="G73" i="4"/>
  <c r="G74" i="4"/>
  <c r="C75" i="4"/>
  <c r="D75" i="4"/>
  <c r="E75" i="4"/>
  <c r="F75" i="4"/>
  <c r="G75" i="4"/>
  <c r="H57" i="4" l="1"/>
  <c r="H72" i="4" s="1"/>
  <c r="H59" i="4"/>
  <c r="H74" i="4" s="1"/>
  <c r="H56" i="4"/>
  <c r="H71" i="4" s="1"/>
  <c r="H54" i="4"/>
  <c r="H69" i="4" s="1"/>
  <c r="H53" i="4"/>
  <c r="H68" i="4" s="1"/>
  <c r="H52" i="4"/>
  <c r="H67" i="4" s="1"/>
  <c r="G60" i="4"/>
  <c r="H36" i="4"/>
  <c r="H51" i="4" s="1"/>
  <c r="H66" i="4" s="1"/>
  <c r="G45" i="4"/>
  <c r="H25" i="4"/>
  <c r="G30" i="4"/>
  <c r="H40" i="4" l="1"/>
  <c r="H30" i="4"/>
  <c r="H55" i="4" l="1"/>
  <c r="H70" i="4" s="1"/>
  <c r="H75" i="4" s="1"/>
  <c r="H45" i="4"/>
  <c r="H60" i="4" l="1"/>
</calcChain>
</file>

<file path=xl/sharedStrings.xml><?xml version="1.0" encoding="utf-8"?>
<sst xmlns="http://schemas.openxmlformats.org/spreadsheetml/2006/main" count="387" uniqueCount="44">
  <si>
    <t>Event: Nov 2022 (Host: On-Line =&gt; LiPoker)</t>
  </si>
  <si>
    <t>Name</t>
  </si>
  <si>
    <t>Win (10 points)</t>
  </si>
  <si>
    <t>Tie *</t>
  </si>
  <si>
    <t>Runner-Up (5 point)</t>
  </si>
  <si>
    <t>Event Totals</t>
  </si>
  <si>
    <t>YTD Total</t>
  </si>
  <si>
    <t>Ranking</t>
  </si>
  <si>
    <t>Junior</t>
  </si>
  <si>
    <t>Darren</t>
  </si>
  <si>
    <t>Seymour</t>
  </si>
  <si>
    <t>Neave</t>
  </si>
  <si>
    <t>Harish</t>
  </si>
  <si>
    <t>Chris</t>
  </si>
  <si>
    <t>Wayne</t>
  </si>
  <si>
    <t>Tony</t>
  </si>
  <si>
    <t>Kerwin</t>
  </si>
  <si>
    <t>Gary</t>
  </si>
  <si>
    <t>Lorenzo</t>
  </si>
  <si>
    <t>Total</t>
  </si>
  <si>
    <t>* Tie is a split of the cash prize between the remaining individuals in a game after 5 hands have been played and neither one has won all the chips in play. These individuals will split the total available pts for 1st place (10pts) and 2nd place (5pts) equally.</t>
  </si>
  <si>
    <t>Event: Jan 2023 (Host: On-Line =&gt; LiPoker)</t>
  </si>
  <si>
    <t>Event: Feb 2023 (Host: On-Line =&gt; LiPoker)</t>
  </si>
  <si>
    <t>Event: March 2023 (Host: On-Line =&gt; LiPoker)</t>
  </si>
  <si>
    <t>Event: April 2023 (Host: On-Line =&gt; LiPoker)</t>
  </si>
  <si>
    <t>Event: Dec 2022 (No Games)</t>
  </si>
  <si>
    <t>Event: Nov 2023 (No Games)</t>
  </si>
  <si>
    <t>Event: Dec 2023 (No Games)</t>
  </si>
  <si>
    <t>Event: Jan 2024 (Seymour)</t>
  </si>
  <si>
    <t>Event: Feb 2024 (Host: LiPoker)</t>
  </si>
  <si>
    <t>Event: April 2024 (Host: Neave)</t>
  </si>
  <si>
    <t>Event: March 2024 (Host:Neave )</t>
  </si>
  <si>
    <t>Event: Dec 2025 (Darren)</t>
  </si>
  <si>
    <t>Event: Apr 2026 ()</t>
  </si>
  <si>
    <t>Event: Nov 2024 (No Games)</t>
  </si>
  <si>
    <t>Event: Dec 2024 (No Games)</t>
  </si>
  <si>
    <t>Event: Jan 2025 (Seymour)</t>
  </si>
  <si>
    <t>Event: Feb 2025 (Junior)</t>
  </si>
  <si>
    <t>Event: March 2025 (Junior)</t>
  </si>
  <si>
    <t>Event: April 2025 (Kerwin)</t>
  </si>
  <si>
    <t>Appearance (2 points)</t>
  </si>
  <si>
    <t>Event: Jan 2026 (Seymour)</t>
  </si>
  <si>
    <t>Event: Feb 2026 (Junior)</t>
  </si>
  <si>
    <t>Event: Mar 2026 (Neave)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</si>
</sst>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font>
    <font>
      <sz val="11"/>
      <color indexed="8"/>
      <name val="Times New Roman"/>
      <family val="1"/>
    </font>
    <font>
      <b/>
      <sz val="11"/>
      <name val="Times New Roman"/>
      <family val="1"/>
    </font>
    <font>
      <sz val="11"/>
      <name val="Times New Roman"/>
      <family val="1"/>
    </font>
    <font>
      <sz val="8"/>
      <name val="Calibri"/>
      <family val="2"/>
    </font>
    <font>
      <sz val="11"/>
      <color rgb="FF000000"/>
      <name val="Times New Roman"/>
      <family val="1"/>
    </font>
    <font>
      <b/>
      <sz val="11"/>
      <color rgb="FFFFFFFF"/>
      <name val="Times New Roman"/>
      <family val="1"/>
    </font>
  </fonts>
  <fills count="7">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rgb="FFCCFFCC"/>
        <bgColor rgb="FF000000"/>
      </patternFill>
    </fill>
    <fill>
      <patternFill patternType="solid">
        <fgColor rgb="FFFFCC99"/>
        <bgColor rgb="FF000000"/>
      </patternFill>
    </fill>
    <fill>
      <patternFill patternType="solid">
        <fgColor rgb="FF4472C4"/>
        <bgColor rgb="FF000000"/>
      </patternFill>
    </fill>
  </fills>
  <borders count="6">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1" fillId="0" borderId="0" xfId="0" applyFont="1"/>
    <xf numFmtId="0" fontId="2" fillId="2" borderId="1" xfId="0" applyFont="1" applyFill="1" applyBorder="1"/>
    <xf numFmtId="0" fontId="2" fillId="2" borderId="1" xfId="0" applyFont="1" applyFill="1" applyBorder="1" applyAlignment="1">
      <alignment horizontal="center"/>
    </xf>
    <xf numFmtId="0" fontId="3" fillId="0" borderId="2" xfId="0" applyFont="1" applyBorder="1"/>
    <xf numFmtId="0" fontId="1" fillId="0" borderId="2" xfId="0" applyFont="1" applyBorder="1"/>
    <xf numFmtId="0" fontId="3" fillId="0" borderId="2" xfId="0" applyFont="1" applyBorder="1" applyAlignment="1">
      <alignment horizontal="right"/>
    </xf>
    <xf numFmtId="0" fontId="2" fillId="3" borderId="2" xfId="0" applyFont="1" applyFill="1" applyBorder="1"/>
    <xf numFmtId="0" fontId="3" fillId="0" borderId="0" xfId="0" applyFont="1"/>
    <xf numFmtId="0" fontId="5" fillId="0" borderId="0" xfId="0" applyFont="1"/>
    <xf numFmtId="0" fontId="2" fillId="4" borderId="1" xfId="0" applyFont="1" applyFill="1" applyBorder="1"/>
    <xf numFmtId="0" fontId="2" fillId="4" borderId="1" xfId="0" applyFont="1" applyFill="1" applyBorder="1" applyAlignment="1">
      <alignment horizontal="center"/>
    </xf>
    <xf numFmtId="0" fontId="5" fillId="0" borderId="2" xfId="0" applyFont="1" applyBorder="1"/>
    <xf numFmtId="0" fontId="2" fillId="5" borderId="2" xfId="0" applyFont="1" applyFill="1" applyBorder="1"/>
    <xf numFmtId="0" fontId="6" fillId="6" borderId="2" xfId="0" applyFont="1" applyFill="1" applyBorder="1"/>
    <xf numFmtId="0" fontId="3" fillId="0" borderId="0" xfId="0" applyFont="1" applyAlignment="1">
      <alignment wrapText="1"/>
    </xf>
    <xf numFmtId="0" fontId="2" fillId="3" borderId="3" xfId="0" applyFont="1" applyFill="1" applyBorder="1" applyAlignment="1">
      <alignment horizontal="center"/>
    </xf>
    <xf numFmtId="0" fontId="2" fillId="3" borderId="4" xfId="0" applyFont="1" applyFill="1" applyBorder="1" applyAlignment="1">
      <alignment horizontal="center"/>
    </xf>
    <xf numFmtId="0" fontId="1" fillId="0" borderId="4" xfId="0" applyFont="1" applyBorder="1"/>
    <xf numFmtId="0" fontId="1" fillId="0" borderId="5" xfId="0" applyFont="1" applyBorder="1"/>
    <xf numFmtId="0" fontId="5" fillId="0" borderId="0" xfId="0" applyFont="1"/>
    <xf numFmtId="0" fontId="2" fillId="5" borderId="3" xfId="0" applyFont="1" applyFill="1" applyBorder="1" applyAlignment="1">
      <alignment horizontal="center"/>
    </xf>
    <xf numFmtId="0" fontId="2" fillId="5"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3949-741A-44FB-AC10-E74A2616068B}">
  <dimension ref="B1:I78"/>
  <sheetViews>
    <sheetView tabSelected="1" topLeftCell="A42" workbookViewId="0">
      <selection activeCell="I38" sqref="I38"/>
    </sheetView>
  </sheetViews>
  <sheetFormatPr defaultColWidth="9.08984375" defaultRowHeight="14" x14ac:dyDescent="0.3"/>
  <cols>
    <col min="1" max="1" width="1.6328125" style="1" customWidth="1"/>
    <col min="2" max="9" width="20.6328125" style="1" customWidth="1"/>
    <col min="10" max="16384" width="9.08984375" style="1"/>
  </cols>
  <sheetData>
    <row r="1" spans="2:9" ht="14.5" thickBot="1" x14ac:dyDescent="0.35"/>
    <row r="2" spans="2:9" ht="14.5" thickBot="1" x14ac:dyDescent="0.35">
      <c r="B2" s="16" t="s">
        <v>32</v>
      </c>
      <c r="C2" s="17"/>
      <c r="D2" s="17"/>
      <c r="E2" s="17"/>
      <c r="F2" s="17"/>
      <c r="G2" s="17"/>
      <c r="H2" s="18"/>
      <c r="I2" s="19"/>
    </row>
    <row r="3" spans="2:9" x14ac:dyDescent="0.3">
      <c r="B3" s="2" t="s">
        <v>1</v>
      </c>
      <c r="C3" s="3" t="s">
        <v>40</v>
      </c>
      <c r="D3" s="3" t="s">
        <v>2</v>
      </c>
      <c r="E3" s="3" t="s">
        <v>3</v>
      </c>
      <c r="F3" s="3" t="s">
        <v>4</v>
      </c>
      <c r="G3" s="3" t="s">
        <v>5</v>
      </c>
      <c r="H3" s="3" t="s">
        <v>6</v>
      </c>
      <c r="I3" s="3" t="s">
        <v>7</v>
      </c>
    </row>
    <row r="4" spans="2:9" x14ac:dyDescent="0.3">
      <c r="B4" s="4" t="s">
        <v>17</v>
      </c>
      <c r="C4" s="4">
        <v>2</v>
      </c>
      <c r="D4" s="4">
        <v>10</v>
      </c>
      <c r="E4" s="4"/>
      <c r="F4" s="4"/>
      <c r="G4" s="4">
        <f t="shared" ref="G4:G14" si="0">SUM(C4:F4)</f>
        <v>12</v>
      </c>
      <c r="H4" s="5">
        <f t="shared" ref="H4:H14" si="1">G4</f>
        <v>12</v>
      </c>
      <c r="I4" s="5">
        <v>1</v>
      </c>
    </row>
    <row r="5" spans="2:9" x14ac:dyDescent="0.3">
      <c r="B5" s="4" t="s">
        <v>13</v>
      </c>
      <c r="C5" s="4">
        <v>2</v>
      </c>
      <c r="D5" s="4">
        <v>10</v>
      </c>
      <c r="E5" s="4"/>
      <c r="F5" s="4"/>
      <c r="G5" s="4">
        <f t="shared" si="0"/>
        <v>12</v>
      </c>
      <c r="H5" s="5">
        <f t="shared" si="1"/>
        <v>12</v>
      </c>
      <c r="I5" s="5">
        <v>1</v>
      </c>
    </row>
    <row r="6" spans="2:9" x14ac:dyDescent="0.3">
      <c r="B6" s="4" t="s">
        <v>11</v>
      </c>
      <c r="C6" s="4">
        <v>2</v>
      </c>
      <c r="D6" s="4">
        <v>10</v>
      </c>
      <c r="E6" s="4"/>
      <c r="F6" s="4"/>
      <c r="G6" s="4">
        <f t="shared" si="0"/>
        <v>12</v>
      </c>
      <c r="H6" s="5">
        <f t="shared" si="1"/>
        <v>12</v>
      </c>
      <c r="I6" s="5">
        <v>1</v>
      </c>
    </row>
    <row r="7" spans="2:9" x14ac:dyDescent="0.3">
      <c r="B7" s="4" t="s">
        <v>9</v>
      </c>
      <c r="C7" s="4">
        <v>2</v>
      </c>
      <c r="D7" s="4"/>
      <c r="E7" s="4"/>
      <c r="F7" s="4">
        <v>5</v>
      </c>
      <c r="G7" s="4">
        <f t="shared" si="0"/>
        <v>7</v>
      </c>
      <c r="H7" s="5">
        <f t="shared" si="1"/>
        <v>7</v>
      </c>
      <c r="I7" s="5">
        <v>4</v>
      </c>
    </row>
    <row r="8" spans="2:9" x14ac:dyDescent="0.3">
      <c r="B8" s="4" t="s">
        <v>10</v>
      </c>
      <c r="C8" s="4">
        <v>2</v>
      </c>
      <c r="D8" s="4"/>
      <c r="E8" s="4"/>
      <c r="F8" s="4">
        <v>5</v>
      </c>
      <c r="G8" s="4">
        <f t="shared" si="0"/>
        <v>7</v>
      </c>
      <c r="H8" s="5">
        <f t="shared" si="1"/>
        <v>7</v>
      </c>
      <c r="I8" s="5">
        <v>4</v>
      </c>
    </row>
    <row r="9" spans="2:9" x14ac:dyDescent="0.3">
      <c r="B9" s="4" t="s">
        <v>12</v>
      </c>
      <c r="C9" s="4">
        <v>2</v>
      </c>
      <c r="D9" s="4"/>
      <c r="E9" s="4"/>
      <c r="F9" s="4">
        <v>5</v>
      </c>
      <c r="G9" s="4">
        <f t="shared" si="0"/>
        <v>7</v>
      </c>
      <c r="H9" s="5">
        <f t="shared" si="1"/>
        <v>7</v>
      </c>
      <c r="I9" s="5">
        <v>4</v>
      </c>
    </row>
    <row r="10" spans="2:9" x14ac:dyDescent="0.3">
      <c r="B10" s="4" t="s">
        <v>8</v>
      </c>
      <c r="C10" s="4">
        <v>2</v>
      </c>
      <c r="D10" s="4"/>
      <c r="E10" s="4"/>
      <c r="F10" s="4"/>
      <c r="G10" s="4">
        <f t="shared" si="0"/>
        <v>2</v>
      </c>
      <c r="H10" s="5">
        <f t="shared" si="1"/>
        <v>2</v>
      </c>
      <c r="I10" s="5">
        <v>7</v>
      </c>
    </row>
    <row r="11" spans="2:9" x14ac:dyDescent="0.3">
      <c r="B11" s="4" t="s">
        <v>18</v>
      </c>
      <c r="C11" s="6">
        <v>0</v>
      </c>
      <c r="D11" s="4"/>
      <c r="E11" s="4"/>
      <c r="F11" s="4"/>
      <c r="G11" s="4">
        <f t="shared" si="0"/>
        <v>0</v>
      </c>
      <c r="H11" s="5">
        <f t="shared" si="1"/>
        <v>0</v>
      </c>
      <c r="I11" s="5">
        <v>8</v>
      </c>
    </row>
    <row r="12" spans="2:9" x14ac:dyDescent="0.3">
      <c r="B12" s="4" t="s">
        <v>16</v>
      </c>
      <c r="C12" s="4">
        <v>0</v>
      </c>
      <c r="D12" s="4"/>
      <c r="E12" s="4"/>
      <c r="F12" s="4"/>
      <c r="G12" s="4">
        <f t="shared" si="0"/>
        <v>0</v>
      </c>
      <c r="H12" s="5">
        <f t="shared" si="1"/>
        <v>0</v>
      </c>
      <c r="I12" s="5">
        <v>8</v>
      </c>
    </row>
    <row r="13" spans="2:9" x14ac:dyDescent="0.3">
      <c r="B13" s="4" t="s">
        <v>15</v>
      </c>
      <c r="C13" s="4">
        <v>0</v>
      </c>
      <c r="D13" s="4"/>
      <c r="E13" s="4"/>
      <c r="F13" s="4"/>
      <c r="G13" s="4">
        <f t="shared" si="0"/>
        <v>0</v>
      </c>
      <c r="H13" s="5">
        <f t="shared" si="1"/>
        <v>0</v>
      </c>
      <c r="I13" s="5">
        <v>8</v>
      </c>
    </row>
    <row r="14" spans="2:9" x14ac:dyDescent="0.3">
      <c r="B14" s="4" t="s">
        <v>14</v>
      </c>
      <c r="C14" s="4">
        <v>0</v>
      </c>
      <c r="D14" s="4"/>
      <c r="E14" s="4"/>
      <c r="F14" s="4"/>
      <c r="G14" s="4">
        <f t="shared" si="0"/>
        <v>0</v>
      </c>
      <c r="H14" s="5">
        <f t="shared" si="1"/>
        <v>0</v>
      </c>
      <c r="I14" s="5">
        <v>8</v>
      </c>
    </row>
    <row r="15" spans="2:9" x14ac:dyDescent="0.3">
      <c r="B15" s="7" t="s">
        <v>19</v>
      </c>
      <c r="C15" s="7">
        <f t="shared" ref="C15:H15" si="2">SUM(C4:C14)</f>
        <v>14</v>
      </c>
      <c r="D15" s="7">
        <f t="shared" si="2"/>
        <v>30</v>
      </c>
      <c r="E15" s="7">
        <f t="shared" si="2"/>
        <v>0</v>
      </c>
      <c r="F15" s="7">
        <f t="shared" si="2"/>
        <v>15</v>
      </c>
      <c r="G15" s="7">
        <f t="shared" si="2"/>
        <v>59</v>
      </c>
      <c r="H15" s="7">
        <f t="shared" si="2"/>
        <v>59</v>
      </c>
      <c r="I15" s="7"/>
    </row>
    <row r="16" spans="2:9" ht="14.5" thickBot="1" x14ac:dyDescent="0.35"/>
    <row r="17" spans="2:9" ht="14.5" thickBot="1" x14ac:dyDescent="0.35">
      <c r="B17" s="16" t="s">
        <v>41</v>
      </c>
      <c r="C17" s="17"/>
      <c r="D17" s="17"/>
      <c r="E17" s="17"/>
      <c r="F17" s="17"/>
      <c r="G17" s="17"/>
      <c r="H17" s="18"/>
      <c r="I17" s="19"/>
    </row>
    <row r="18" spans="2:9" x14ac:dyDescent="0.3">
      <c r="B18" s="2" t="s">
        <v>1</v>
      </c>
      <c r="C18" s="3" t="s">
        <v>40</v>
      </c>
      <c r="D18" s="3" t="s">
        <v>2</v>
      </c>
      <c r="E18" s="3" t="s">
        <v>3</v>
      </c>
      <c r="F18" s="3" t="s">
        <v>4</v>
      </c>
      <c r="G18" s="3" t="s">
        <v>5</v>
      </c>
      <c r="H18" s="3" t="s">
        <v>6</v>
      </c>
      <c r="I18" s="3" t="s">
        <v>7</v>
      </c>
    </row>
    <row r="19" spans="2:9" x14ac:dyDescent="0.3">
      <c r="B19" s="4" t="s">
        <v>17</v>
      </c>
      <c r="C19" s="4">
        <v>2</v>
      </c>
      <c r="D19" s="4">
        <v>10</v>
      </c>
      <c r="E19" s="4"/>
      <c r="F19" s="4"/>
      <c r="G19" s="4">
        <f>SUM(C19:F19)</f>
        <v>12</v>
      </c>
      <c r="H19" s="5">
        <f>G19+H4</f>
        <v>24</v>
      </c>
      <c r="I19" s="5">
        <v>1</v>
      </c>
    </row>
    <row r="20" spans="2:9" x14ac:dyDescent="0.3">
      <c r="B20" s="4" t="s">
        <v>13</v>
      </c>
      <c r="C20" s="4">
        <v>2</v>
      </c>
      <c r="D20" s="4"/>
      <c r="E20" s="4"/>
      <c r="F20" s="4"/>
      <c r="G20" s="4">
        <f>SUM(C20:F20)</f>
        <v>2</v>
      </c>
      <c r="H20" s="5">
        <f t="shared" ref="H20:H29" si="3">G20+H5</f>
        <v>14</v>
      </c>
      <c r="I20" s="5">
        <v>5</v>
      </c>
    </row>
    <row r="21" spans="2:9" x14ac:dyDescent="0.3">
      <c r="B21" s="4" t="s">
        <v>11</v>
      </c>
      <c r="C21" s="4">
        <v>2</v>
      </c>
      <c r="D21" s="4"/>
      <c r="E21" s="4">
        <v>7.5</v>
      </c>
      <c r="F21" s="4"/>
      <c r="G21" s="4">
        <f>SUM(C21:F21)</f>
        <v>9.5</v>
      </c>
      <c r="H21" s="5">
        <f t="shared" si="3"/>
        <v>21.5</v>
      </c>
      <c r="I21" s="5">
        <v>2</v>
      </c>
    </row>
    <row r="22" spans="2:9" x14ac:dyDescent="0.3">
      <c r="B22" s="4" t="s">
        <v>9</v>
      </c>
      <c r="C22" s="4">
        <v>2</v>
      </c>
      <c r="D22" s="4"/>
      <c r="E22" s="4"/>
      <c r="F22" s="4"/>
      <c r="G22" s="4">
        <f t="shared" ref="G22:G29" si="4">SUM(C22:F22)</f>
        <v>2</v>
      </c>
      <c r="H22" s="5">
        <f t="shared" si="3"/>
        <v>9</v>
      </c>
      <c r="I22" s="5">
        <v>7</v>
      </c>
    </row>
    <row r="23" spans="2:9" x14ac:dyDescent="0.3">
      <c r="B23" s="4" t="s">
        <v>10</v>
      </c>
      <c r="C23" s="4">
        <v>2</v>
      </c>
      <c r="D23" s="4">
        <v>10</v>
      </c>
      <c r="E23" s="4"/>
      <c r="F23" s="4"/>
      <c r="G23" s="4">
        <f>SUM(C23:F23)</f>
        <v>12</v>
      </c>
      <c r="H23" s="5">
        <f t="shared" si="3"/>
        <v>19</v>
      </c>
      <c r="I23" s="5">
        <v>3</v>
      </c>
    </row>
    <row r="24" spans="2:9" x14ac:dyDescent="0.3">
      <c r="B24" s="4" t="s">
        <v>12</v>
      </c>
      <c r="C24" s="4">
        <v>2</v>
      </c>
      <c r="D24" s="4"/>
      <c r="E24" s="4"/>
      <c r="F24" s="4">
        <v>10</v>
      </c>
      <c r="G24" s="4">
        <f>SUM(C24:F24)</f>
        <v>12</v>
      </c>
      <c r="H24" s="5">
        <f t="shared" si="3"/>
        <v>19</v>
      </c>
      <c r="I24" s="5">
        <v>3</v>
      </c>
    </row>
    <row r="25" spans="2:9" x14ac:dyDescent="0.3">
      <c r="B25" s="4" t="s">
        <v>8</v>
      </c>
      <c r="C25" s="4">
        <v>2</v>
      </c>
      <c r="D25" s="4"/>
      <c r="E25" s="4">
        <v>7.5</v>
      </c>
      <c r="F25" s="4"/>
      <c r="G25" s="4">
        <f>SUM(C25:F25)</f>
        <v>9.5</v>
      </c>
      <c r="H25" s="5">
        <f t="shared" si="3"/>
        <v>11.5</v>
      </c>
      <c r="I25" s="5">
        <v>6</v>
      </c>
    </row>
    <row r="26" spans="2:9" x14ac:dyDescent="0.3">
      <c r="B26" s="4" t="s">
        <v>18</v>
      </c>
      <c r="C26" s="4">
        <v>0</v>
      </c>
      <c r="D26" s="4"/>
      <c r="E26" s="4"/>
      <c r="F26" s="4"/>
      <c r="G26" s="4">
        <f>SUM(C26:F26)</f>
        <v>0</v>
      </c>
      <c r="H26" s="5">
        <f t="shared" si="3"/>
        <v>0</v>
      </c>
      <c r="I26" s="5">
        <v>10</v>
      </c>
    </row>
    <row r="27" spans="2:9" x14ac:dyDescent="0.3">
      <c r="B27" s="4" t="s">
        <v>16</v>
      </c>
      <c r="C27" s="4">
        <v>2</v>
      </c>
      <c r="D27" s="4"/>
      <c r="E27" s="4"/>
      <c r="F27" s="4"/>
      <c r="G27" s="4">
        <f t="shared" si="4"/>
        <v>2</v>
      </c>
      <c r="H27" s="5">
        <f t="shared" si="3"/>
        <v>2</v>
      </c>
      <c r="I27" s="5">
        <v>8</v>
      </c>
    </row>
    <row r="28" spans="2:9" x14ac:dyDescent="0.3">
      <c r="B28" s="4" t="s">
        <v>15</v>
      </c>
      <c r="C28" s="4">
        <v>0</v>
      </c>
      <c r="D28" s="4"/>
      <c r="E28" s="4"/>
      <c r="F28" s="4"/>
      <c r="G28" s="4">
        <f t="shared" si="4"/>
        <v>0</v>
      </c>
      <c r="H28" s="5">
        <f t="shared" si="3"/>
        <v>0</v>
      </c>
      <c r="I28" s="5">
        <v>10</v>
      </c>
    </row>
    <row r="29" spans="2:9" x14ac:dyDescent="0.3">
      <c r="B29" s="4" t="s">
        <v>14</v>
      </c>
      <c r="C29" s="6">
        <v>2</v>
      </c>
      <c r="D29" s="4"/>
      <c r="E29" s="4"/>
      <c r="F29" s="4"/>
      <c r="G29" s="4">
        <f t="shared" si="4"/>
        <v>2</v>
      </c>
      <c r="H29" s="5">
        <f t="shared" si="3"/>
        <v>2</v>
      </c>
      <c r="I29" s="5">
        <v>8</v>
      </c>
    </row>
    <row r="30" spans="2:9" x14ac:dyDescent="0.3">
      <c r="B30" s="7" t="s">
        <v>19</v>
      </c>
      <c r="C30" s="7">
        <f t="shared" ref="C30:H30" si="5">SUM(C19:C29)</f>
        <v>18</v>
      </c>
      <c r="D30" s="7">
        <f t="shared" si="5"/>
        <v>20</v>
      </c>
      <c r="E30" s="7">
        <f t="shared" si="5"/>
        <v>15</v>
      </c>
      <c r="F30" s="7">
        <f t="shared" si="5"/>
        <v>10</v>
      </c>
      <c r="G30" s="7">
        <f t="shared" si="5"/>
        <v>63</v>
      </c>
      <c r="H30" s="7">
        <f t="shared" si="5"/>
        <v>122</v>
      </c>
      <c r="I30" s="7"/>
    </row>
    <row r="31" spans="2:9" ht="14.5" thickBot="1" x14ac:dyDescent="0.35"/>
    <row r="32" spans="2:9" ht="14.5" thickBot="1" x14ac:dyDescent="0.35">
      <c r="B32" s="16" t="s">
        <v>42</v>
      </c>
      <c r="C32" s="17"/>
      <c r="D32" s="17"/>
      <c r="E32" s="17"/>
      <c r="F32" s="17"/>
      <c r="G32" s="17"/>
      <c r="H32" s="18"/>
      <c r="I32" s="19"/>
    </row>
    <row r="33" spans="2:9" x14ac:dyDescent="0.3">
      <c r="B33" s="2" t="s">
        <v>1</v>
      </c>
      <c r="C33" s="3" t="s">
        <v>40</v>
      </c>
      <c r="D33" s="3" t="s">
        <v>2</v>
      </c>
      <c r="E33" s="3" t="s">
        <v>3</v>
      </c>
      <c r="F33" s="3" t="s">
        <v>4</v>
      </c>
      <c r="G33" s="3" t="s">
        <v>5</v>
      </c>
      <c r="H33" s="3" t="s">
        <v>6</v>
      </c>
      <c r="I33" s="3" t="s">
        <v>7</v>
      </c>
    </row>
    <row r="34" spans="2:9" x14ac:dyDescent="0.3">
      <c r="B34" s="4" t="s">
        <v>17</v>
      </c>
      <c r="C34" s="4">
        <v>2</v>
      </c>
      <c r="D34" s="4"/>
      <c r="E34" s="4"/>
      <c r="F34" s="4">
        <v>5</v>
      </c>
      <c r="G34" s="4">
        <f t="shared" ref="G34:G39" si="6">SUM(C34:F34)</f>
        <v>7</v>
      </c>
      <c r="H34" s="5">
        <f t="shared" ref="H34:H44" si="7">G34+H19</f>
        <v>31</v>
      </c>
      <c r="I34" s="5">
        <v>2</v>
      </c>
    </row>
    <row r="35" spans="2:9" x14ac:dyDescent="0.3">
      <c r="B35" s="4" t="s">
        <v>13</v>
      </c>
      <c r="C35" s="4">
        <v>2</v>
      </c>
      <c r="D35" s="4"/>
      <c r="E35" s="4"/>
      <c r="F35" s="4"/>
      <c r="G35" s="4">
        <f t="shared" si="6"/>
        <v>2</v>
      </c>
      <c r="H35" s="5">
        <f t="shared" si="7"/>
        <v>16</v>
      </c>
      <c r="I35" s="5">
        <v>5</v>
      </c>
    </row>
    <row r="36" spans="2:9" x14ac:dyDescent="0.3">
      <c r="B36" s="4" t="s">
        <v>11</v>
      </c>
      <c r="C36" s="4">
        <v>2</v>
      </c>
      <c r="D36" s="4"/>
      <c r="E36" s="4">
        <v>7.5</v>
      </c>
      <c r="F36" s="4"/>
      <c r="G36" s="4">
        <f t="shared" si="6"/>
        <v>9.5</v>
      </c>
      <c r="H36" s="5">
        <f t="shared" si="7"/>
        <v>31</v>
      </c>
      <c r="I36" s="5">
        <v>2</v>
      </c>
    </row>
    <row r="37" spans="2:9" x14ac:dyDescent="0.3">
      <c r="B37" s="4" t="s">
        <v>9</v>
      </c>
      <c r="C37" s="4">
        <v>2</v>
      </c>
      <c r="D37" s="4"/>
      <c r="E37" s="4"/>
      <c r="F37" s="4"/>
      <c r="G37" s="4">
        <f t="shared" si="6"/>
        <v>2</v>
      </c>
      <c r="H37" s="5">
        <f t="shared" si="7"/>
        <v>11</v>
      </c>
      <c r="I37" s="5">
        <v>8</v>
      </c>
    </row>
    <row r="38" spans="2:9" x14ac:dyDescent="0.3">
      <c r="B38" s="4" t="s">
        <v>10</v>
      </c>
      <c r="C38" s="4">
        <v>2</v>
      </c>
      <c r="D38" s="4">
        <v>10</v>
      </c>
      <c r="E38" s="4"/>
      <c r="F38" s="4">
        <v>5</v>
      </c>
      <c r="G38" s="4">
        <f t="shared" si="6"/>
        <v>17</v>
      </c>
      <c r="H38" s="5">
        <f t="shared" si="7"/>
        <v>36</v>
      </c>
      <c r="I38" s="5">
        <v>1</v>
      </c>
    </row>
    <row r="39" spans="2:9" x14ac:dyDescent="0.3">
      <c r="B39" s="4" t="s">
        <v>12</v>
      </c>
      <c r="C39" s="4">
        <v>2</v>
      </c>
      <c r="D39" s="4">
        <v>10</v>
      </c>
      <c r="E39" s="4"/>
      <c r="F39" s="4"/>
      <c r="G39" s="4">
        <f t="shared" si="6"/>
        <v>12</v>
      </c>
      <c r="H39" s="5">
        <f t="shared" si="7"/>
        <v>31</v>
      </c>
      <c r="I39" s="5">
        <v>2</v>
      </c>
    </row>
    <row r="40" spans="2:9" x14ac:dyDescent="0.3">
      <c r="B40" s="4" t="s">
        <v>8</v>
      </c>
      <c r="C40" s="4">
        <v>2</v>
      </c>
      <c r="D40" s="4"/>
      <c r="E40" s="4"/>
      <c r="F40" s="4"/>
      <c r="G40" s="4">
        <f>SUM(C40:F40)</f>
        <v>2</v>
      </c>
      <c r="H40" s="5">
        <f t="shared" si="7"/>
        <v>13.5</v>
      </c>
      <c r="I40" s="5">
        <v>6</v>
      </c>
    </row>
    <row r="41" spans="2:9" x14ac:dyDescent="0.3">
      <c r="B41" s="4" t="s">
        <v>18</v>
      </c>
      <c r="C41" s="4">
        <v>0</v>
      </c>
      <c r="D41" s="4"/>
      <c r="E41" s="4"/>
      <c r="F41" s="4"/>
      <c r="G41" s="4">
        <f>SUM(C41:F41)</f>
        <v>0</v>
      </c>
      <c r="H41" s="5">
        <f t="shared" si="7"/>
        <v>0</v>
      </c>
      <c r="I41" s="5">
        <v>10</v>
      </c>
    </row>
    <row r="42" spans="2:9" x14ac:dyDescent="0.3">
      <c r="B42" s="4" t="s">
        <v>16</v>
      </c>
      <c r="C42" s="4">
        <v>2</v>
      </c>
      <c r="D42" s="4"/>
      <c r="E42" s="4">
        <v>7.5</v>
      </c>
      <c r="F42" s="4"/>
      <c r="G42" s="4">
        <f>SUM(C42:F42)</f>
        <v>9.5</v>
      </c>
      <c r="H42" s="5">
        <f t="shared" si="7"/>
        <v>11.5</v>
      </c>
      <c r="I42" s="5">
        <v>7</v>
      </c>
    </row>
    <row r="43" spans="2:9" x14ac:dyDescent="0.3">
      <c r="B43" s="4" t="s">
        <v>15</v>
      </c>
      <c r="C43" s="4">
        <v>0</v>
      </c>
      <c r="D43" s="4"/>
      <c r="E43" s="4"/>
      <c r="F43" s="4"/>
      <c r="G43" s="4">
        <f>SUM(C43:F43)</f>
        <v>0</v>
      </c>
      <c r="H43" s="5">
        <f t="shared" si="7"/>
        <v>0</v>
      </c>
      <c r="I43" s="5">
        <v>10</v>
      </c>
    </row>
    <row r="44" spans="2:9" x14ac:dyDescent="0.3">
      <c r="B44" s="4" t="s">
        <v>14</v>
      </c>
      <c r="C44" s="6">
        <v>0</v>
      </c>
      <c r="D44" s="4"/>
      <c r="E44" s="4"/>
      <c r="F44" s="4"/>
      <c r="G44" s="4">
        <f>SUM(C44:F44)</f>
        <v>0</v>
      </c>
      <c r="H44" s="5">
        <f t="shared" si="7"/>
        <v>2</v>
      </c>
      <c r="I44" s="5">
        <v>9</v>
      </c>
    </row>
    <row r="45" spans="2:9" x14ac:dyDescent="0.3">
      <c r="B45" s="7" t="s">
        <v>19</v>
      </c>
      <c r="C45" s="7">
        <f t="shared" ref="C45:H45" si="8">SUM(C34:C44)</f>
        <v>16</v>
      </c>
      <c r="D45" s="7">
        <f t="shared" si="8"/>
        <v>20</v>
      </c>
      <c r="E45" s="7">
        <f t="shared" si="8"/>
        <v>15</v>
      </c>
      <c r="F45" s="7">
        <f t="shared" si="8"/>
        <v>10</v>
      </c>
      <c r="G45" s="7">
        <f t="shared" si="8"/>
        <v>61</v>
      </c>
      <c r="H45" s="7">
        <f t="shared" si="8"/>
        <v>183</v>
      </c>
      <c r="I45" s="7"/>
    </row>
    <row r="46" spans="2:9" ht="14.5" thickBot="1" x14ac:dyDescent="0.35"/>
    <row r="47" spans="2:9" ht="14.5" thickBot="1" x14ac:dyDescent="0.35">
      <c r="B47" s="16" t="s">
        <v>43</v>
      </c>
      <c r="C47" s="17"/>
      <c r="D47" s="17"/>
      <c r="E47" s="17"/>
      <c r="F47" s="17"/>
      <c r="G47" s="17"/>
      <c r="H47" s="18"/>
      <c r="I47" s="19"/>
    </row>
    <row r="48" spans="2:9" x14ac:dyDescent="0.3">
      <c r="B48" s="2" t="s">
        <v>1</v>
      </c>
      <c r="C48" s="3" t="s">
        <v>40</v>
      </c>
      <c r="D48" s="3" t="s">
        <v>2</v>
      </c>
      <c r="E48" s="3" t="s">
        <v>3</v>
      </c>
      <c r="F48" s="3" t="s">
        <v>4</v>
      </c>
      <c r="G48" s="3" t="s">
        <v>5</v>
      </c>
      <c r="H48" s="3" t="s">
        <v>6</v>
      </c>
      <c r="I48" s="3" t="s">
        <v>7</v>
      </c>
    </row>
    <row r="49" spans="2:9" x14ac:dyDescent="0.3">
      <c r="B49" s="4" t="s">
        <v>17</v>
      </c>
      <c r="C49" s="4">
        <v>2</v>
      </c>
      <c r="D49" s="4"/>
      <c r="E49" s="4"/>
      <c r="F49" s="4"/>
      <c r="G49" s="4">
        <f t="shared" ref="G49:G59" si="9">SUM(C49:F49)</f>
        <v>2</v>
      </c>
      <c r="H49" s="5">
        <f t="shared" ref="H49:H59" si="10">G49+H34</f>
        <v>33</v>
      </c>
      <c r="I49" s="5">
        <v>4</v>
      </c>
    </row>
    <row r="50" spans="2:9" x14ac:dyDescent="0.3">
      <c r="B50" s="4" t="s">
        <v>13</v>
      </c>
      <c r="C50" s="4">
        <v>2</v>
      </c>
      <c r="D50" s="4"/>
      <c r="E50" s="4"/>
      <c r="F50" s="4"/>
      <c r="G50" s="4">
        <f t="shared" si="9"/>
        <v>2</v>
      </c>
      <c r="H50" s="5">
        <f t="shared" si="10"/>
        <v>18</v>
      </c>
      <c r="I50" s="5">
        <v>7</v>
      </c>
    </row>
    <row r="51" spans="2:9" x14ac:dyDescent="0.3">
      <c r="B51" s="4" t="s">
        <v>11</v>
      </c>
      <c r="C51" s="4">
        <v>2</v>
      </c>
      <c r="D51" s="4">
        <v>10</v>
      </c>
      <c r="E51" s="4"/>
      <c r="F51" s="4">
        <v>5</v>
      </c>
      <c r="G51" s="4">
        <f t="shared" si="9"/>
        <v>17</v>
      </c>
      <c r="H51" s="5">
        <f t="shared" si="10"/>
        <v>48</v>
      </c>
      <c r="I51" s="5">
        <v>1</v>
      </c>
    </row>
    <row r="52" spans="2:9" x14ac:dyDescent="0.3">
      <c r="B52" s="4" t="s">
        <v>9</v>
      </c>
      <c r="C52" s="4">
        <v>0</v>
      </c>
      <c r="D52" s="4"/>
      <c r="E52" s="4"/>
      <c r="F52" s="4"/>
      <c r="G52" s="4">
        <f t="shared" si="9"/>
        <v>0</v>
      </c>
      <c r="H52" s="5">
        <f t="shared" si="10"/>
        <v>11</v>
      </c>
      <c r="I52" s="5">
        <v>8</v>
      </c>
    </row>
    <row r="53" spans="2:9" x14ac:dyDescent="0.3">
      <c r="B53" s="4" t="s">
        <v>10</v>
      </c>
      <c r="C53" s="4">
        <v>2</v>
      </c>
      <c r="D53" s="4"/>
      <c r="E53" s="4"/>
      <c r="F53" s="4"/>
      <c r="G53" s="4">
        <f t="shared" si="9"/>
        <v>2</v>
      </c>
      <c r="H53" s="5">
        <f t="shared" si="10"/>
        <v>38</v>
      </c>
      <c r="I53" s="5">
        <v>2</v>
      </c>
    </row>
    <row r="54" spans="2:9" x14ac:dyDescent="0.3">
      <c r="B54" s="4" t="s">
        <v>12</v>
      </c>
      <c r="C54" s="4">
        <v>2</v>
      </c>
      <c r="D54" s="4"/>
      <c r="E54" s="4"/>
      <c r="F54" s="4"/>
      <c r="G54" s="4">
        <f t="shared" si="9"/>
        <v>2</v>
      </c>
      <c r="H54" s="5">
        <f t="shared" si="10"/>
        <v>33</v>
      </c>
      <c r="I54" s="5">
        <v>4</v>
      </c>
    </row>
    <row r="55" spans="2:9" x14ac:dyDescent="0.3">
      <c r="B55" s="4" t="s">
        <v>8</v>
      </c>
      <c r="C55" s="4">
        <v>2</v>
      </c>
      <c r="D55" s="4"/>
      <c r="E55" s="4"/>
      <c r="F55" s="4">
        <v>10</v>
      </c>
      <c r="G55" s="4">
        <f t="shared" si="9"/>
        <v>12</v>
      </c>
      <c r="H55" s="5">
        <f t="shared" si="10"/>
        <v>25.5</v>
      </c>
      <c r="I55" s="5">
        <v>6</v>
      </c>
    </row>
    <row r="56" spans="2:9" x14ac:dyDescent="0.3">
      <c r="B56" s="4" t="s">
        <v>18</v>
      </c>
      <c r="C56" s="4">
        <v>0</v>
      </c>
      <c r="D56" s="4"/>
      <c r="E56" s="4"/>
      <c r="F56" s="4"/>
      <c r="G56" s="4">
        <f t="shared" si="9"/>
        <v>0</v>
      </c>
      <c r="H56" s="5">
        <f t="shared" si="10"/>
        <v>0</v>
      </c>
      <c r="I56" s="5">
        <v>10</v>
      </c>
    </row>
    <row r="57" spans="2:9" x14ac:dyDescent="0.3">
      <c r="B57" s="4" t="s">
        <v>16</v>
      </c>
      <c r="C57" s="4">
        <v>2</v>
      </c>
      <c r="D57" s="4">
        <v>20</v>
      </c>
      <c r="E57" s="4"/>
      <c r="F57" s="4"/>
      <c r="G57" s="4">
        <f t="shared" si="9"/>
        <v>22</v>
      </c>
      <c r="H57" s="5">
        <f t="shared" si="10"/>
        <v>33.5</v>
      </c>
      <c r="I57" s="5">
        <v>3</v>
      </c>
    </row>
    <row r="58" spans="2:9" x14ac:dyDescent="0.3">
      <c r="B58" s="4" t="s">
        <v>15</v>
      </c>
      <c r="C58" s="4">
        <v>0</v>
      </c>
      <c r="D58" s="4"/>
      <c r="E58" s="4"/>
      <c r="F58" s="4"/>
      <c r="G58" s="4">
        <f t="shared" si="9"/>
        <v>0</v>
      </c>
      <c r="H58" s="5">
        <f t="shared" si="10"/>
        <v>0</v>
      </c>
      <c r="I58" s="5">
        <v>10</v>
      </c>
    </row>
    <row r="59" spans="2:9" x14ac:dyDescent="0.3">
      <c r="B59" s="4" t="s">
        <v>14</v>
      </c>
      <c r="C59" s="6">
        <v>2</v>
      </c>
      <c r="D59" s="4"/>
      <c r="E59" s="4"/>
      <c r="F59" s="4"/>
      <c r="G59" s="4">
        <f t="shared" si="9"/>
        <v>2</v>
      </c>
      <c r="H59" s="5">
        <f t="shared" si="10"/>
        <v>4</v>
      </c>
      <c r="I59" s="5">
        <v>9</v>
      </c>
    </row>
    <row r="60" spans="2:9" x14ac:dyDescent="0.3">
      <c r="B60" s="7" t="s">
        <v>19</v>
      </c>
      <c r="C60" s="7">
        <f t="shared" ref="C60:H60" si="11">SUM(C49:C59)</f>
        <v>16</v>
      </c>
      <c r="D60" s="7">
        <f t="shared" si="11"/>
        <v>30</v>
      </c>
      <c r="E60" s="7">
        <f t="shared" si="11"/>
        <v>0</v>
      </c>
      <c r="F60" s="7">
        <f t="shared" si="11"/>
        <v>15</v>
      </c>
      <c r="G60" s="7">
        <f t="shared" si="11"/>
        <v>61</v>
      </c>
      <c r="H60" s="7">
        <f t="shared" si="11"/>
        <v>244</v>
      </c>
      <c r="I60" s="7"/>
    </row>
    <row r="61" spans="2:9" ht="14.5" thickBot="1" x14ac:dyDescent="0.35">
      <c r="B61" s="8"/>
      <c r="C61" s="8"/>
      <c r="D61" s="8"/>
      <c r="E61" s="8"/>
      <c r="F61" s="8"/>
      <c r="G61" s="8"/>
    </row>
    <row r="62" spans="2:9" ht="14.5" thickBot="1" x14ac:dyDescent="0.35">
      <c r="B62" s="16" t="s">
        <v>33</v>
      </c>
      <c r="C62" s="17"/>
      <c r="D62" s="17"/>
      <c r="E62" s="17"/>
      <c r="F62" s="17"/>
      <c r="G62" s="17"/>
      <c r="H62" s="18"/>
      <c r="I62" s="19"/>
    </row>
    <row r="63" spans="2:9" x14ac:dyDescent="0.3">
      <c r="B63" s="2" t="s">
        <v>1</v>
      </c>
      <c r="C63" s="3" t="s">
        <v>40</v>
      </c>
      <c r="D63" s="3" t="s">
        <v>2</v>
      </c>
      <c r="E63" s="3" t="s">
        <v>3</v>
      </c>
      <c r="F63" s="3" t="s">
        <v>4</v>
      </c>
      <c r="G63" s="3" t="s">
        <v>5</v>
      </c>
      <c r="H63" s="3" t="s">
        <v>6</v>
      </c>
      <c r="I63" s="3" t="s">
        <v>7</v>
      </c>
    </row>
    <row r="64" spans="2:9" x14ac:dyDescent="0.3">
      <c r="B64" s="4" t="s">
        <v>17</v>
      </c>
      <c r="C64" s="4"/>
      <c r="D64" s="4"/>
      <c r="E64" s="4"/>
      <c r="F64" s="4"/>
      <c r="G64" s="4">
        <f t="shared" ref="G64:G74" si="12">SUM(C64:F64)</f>
        <v>0</v>
      </c>
      <c r="H64" s="5">
        <f t="shared" ref="H64:H74" si="13">G64+H49</f>
        <v>33</v>
      </c>
      <c r="I64" s="5"/>
    </row>
    <row r="65" spans="2:9" x14ac:dyDescent="0.3">
      <c r="B65" s="4" t="s">
        <v>13</v>
      </c>
      <c r="C65" s="4"/>
      <c r="D65" s="4"/>
      <c r="E65" s="4"/>
      <c r="F65" s="4"/>
      <c r="G65" s="4">
        <f t="shared" si="12"/>
        <v>0</v>
      </c>
      <c r="H65" s="5">
        <f t="shared" si="13"/>
        <v>18</v>
      </c>
      <c r="I65" s="5"/>
    </row>
    <row r="66" spans="2:9" x14ac:dyDescent="0.3">
      <c r="B66" s="4" t="s">
        <v>11</v>
      </c>
      <c r="C66" s="4"/>
      <c r="D66" s="4"/>
      <c r="E66" s="4"/>
      <c r="F66" s="4"/>
      <c r="G66" s="4">
        <f t="shared" si="12"/>
        <v>0</v>
      </c>
      <c r="H66" s="5">
        <f t="shared" si="13"/>
        <v>48</v>
      </c>
      <c r="I66" s="5"/>
    </row>
    <row r="67" spans="2:9" x14ac:dyDescent="0.3">
      <c r="B67" s="4" t="s">
        <v>9</v>
      </c>
      <c r="C67" s="4"/>
      <c r="D67" s="4"/>
      <c r="E67" s="4"/>
      <c r="F67" s="4"/>
      <c r="G67" s="4">
        <f t="shared" si="12"/>
        <v>0</v>
      </c>
      <c r="H67" s="5">
        <f t="shared" si="13"/>
        <v>11</v>
      </c>
      <c r="I67" s="5"/>
    </row>
    <row r="68" spans="2:9" x14ac:dyDescent="0.3">
      <c r="B68" s="4" t="s">
        <v>10</v>
      </c>
      <c r="C68" s="4"/>
      <c r="D68" s="4"/>
      <c r="E68" s="4"/>
      <c r="F68" s="4"/>
      <c r="G68" s="4">
        <f t="shared" si="12"/>
        <v>0</v>
      </c>
      <c r="H68" s="5">
        <f t="shared" si="13"/>
        <v>38</v>
      </c>
      <c r="I68" s="5"/>
    </row>
    <row r="69" spans="2:9" x14ac:dyDescent="0.3">
      <c r="B69" s="4" t="s">
        <v>12</v>
      </c>
      <c r="C69" s="4"/>
      <c r="D69" s="4"/>
      <c r="E69" s="4"/>
      <c r="F69" s="4"/>
      <c r="G69" s="4">
        <f t="shared" si="12"/>
        <v>0</v>
      </c>
      <c r="H69" s="5">
        <f t="shared" si="13"/>
        <v>33</v>
      </c>
      <c r="I69" s="5"/>
    </row>
    <row r="70" spans="2:9" x14ac:dyDescent="0.3">
      <c r="B70" s="4" t="s">
        <v>8</v>
      </c>
      <c r="C70" s="4"/>
      <c r="D70" s="4"/>
      <c r="E70" s="4"/>
      <c r="F70" s="4"/>
      <c r="G70" s="4">
        <f t="shared" si="12"/>
        <v>0</v>
      </c>
      <c r="H70" s="5">
        <f t="shared" si="13"/>
        <v>25.5</v>
      </c>
      <c r="I70" s="5"/>
    </row>
    <row r="71" spans="2:9" x14ac:dyDescent="0.3">
      <c r="B71" s="4" t="s">
        <v>18</v>
      </c>
      <c r="C71" s="4"/>
      <c r="D71" s="4"/>
      <c r="E71" s="4"/>
      <c r="F71" s="4"/>
      <c r="G71" s="4">
        <f t="shared" si="12"/>
        <v>0</v>
      </c>
      <c r="H71" s="5">
        <f t="shared" si="13"/>
        <v>0</v>
      </c>
      <c r="I71" s="5"/>
    </row>
    <row r="72" spans="2:9" x14ac:dyDescent="0.3">
      <c r="B72" s="4" t="s">
        <v>16</v>
      </c>
      <c r="C72" s="4"/>
      <c r="D72" s="4"/>
      <c r="E72" s="4"/>
      <c r="F72" s="4"/>
      <c r="G72" s="4">
        <f t="shared" si="12"/>
        <v>0</v>
      </c>
      <c r="H72" s="5">
        <f t="shared" si="13"/>
        <v>33.5</v>
      </c>
      <c r="I72" s="5"/>
    </row>
    <row r="73" spans="2:9" x14ac:dyDescent="0.3">
      <c r="B73" s="4" t="s">
        <v>15</v>
      </c>
      <c r="C73" s="4"/>
      <c r="D73" s="4"/>
      <c r="E73" s="4"/>
      <c r="F73" s="4"/>
      <c r="G73" s="4">
        <f t="shared" si="12"/>
        <v>0</v>
      </c>
      <c r="H73" s="5">
        <f t="shared" si="13"/>
        <v>0</v>
      </c>
      <c r="I73" s="5"/>
    </row>
    <row r="74" spans="2:9" x14ac:dyDescent="0.3">
      <c r="B74" s="4" t="s">
        <v>14</v>
      </c>
      <c r="C74" s="6"/>
      <c r="D74" s="4"/>
      <c r="E74" s="4"/>
      <c r="F74" s="4"/>
      <c r="G74" s="4">
        <f t="shared" si="12"/>
        <v>0</v>
      </c>
      <c r="H74" s="5">
        <f t="shared" si="13"/>
        <v>4</v>
      </c>
      <c r="I74" s="5"/>
    </row>
    <row r="75" spans="2:9" x14ac:dyDescent="0.3">
      <c r="B75" s="7" t="s">
        <v>19</v>
      </c>
      <c r="C75" s="7">
        <f t="shared" ref="C75:H75" si="14">SUM(C64:C74)</f>
        <v>0</v>
      </c>
      <c r="D75" s="7">
        <f t="shared" si="14"/>
        <v>0</v>
      </c>
      <c r="E75" s="7">
        <f t="shared" si="14"/>
        <v>0</v>
      </c>
      <c r="F75" s="7">
        <f t="shared" si="14"/>
        <v>0</v>
      </c>
      <c r="G75" s="7">
        <f t="shared" si="14"/>
        <v>0</v>
      </c>
      <c r="H75" s="7">
        <f t="shared" si="14"/>
        <v>244</v>
      </c>
      <c r="I75" s="7"/>
    </row>
    <row r="76" spans="2:9" x14ac:dyDescent="0.3">
      <c r="B76" s="8"/>
      <c r="C76" s="8"/>
      <c r="D76" s="8"/>
      <c r="E76" s="8"/>
      <c r="F76" s="8"/>
      <c r="G76" s="8"/>
    </row>
    <row r="77" spans="2:9" x14ac:dyDescent="0.3">
      <c r="B77" s="15" t="s">
        <v>20</v>
      </c>
      <c r="C77" s="15"/>
      <c r="D77" s="15"/>
      <c r="E77" s="15"/>
      <c r="F77" s="15"/>
      <c r="G77" s="15"/>
      <c r="H77" s="15"/>
      <c r="I77" s="15"/>
    </row>
    <row r="78" spans="2:9" x14ac:dyDescent="0.3">
      <c r="B78" s="15"/>
      <c r="C78" s="15"/>
      <c r="D78" s="15"/>
      <c r="E78" s="15"/>
      <c r="F78" s="15"/>
      <c r="G78" s="15"/>
      <c r="H78" s="15"/>
      <c r="I78" s="15"/>
    </row>
  </sheetData>
  <mergeCells count="6">
    <mergeCell ref="B77:I78"/>
    <mergeCell ref="B2:I2"/>
    <mergeCell ref="B17:I17"/>
    <mergeCell ref="B32:I32"/>
    <mergeCell ref="B47:I47"/>
    <mergeCell ref="B62:I6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003E-C109-4E24-B697-F857BF154BD1}">
  <dimension ref="A1:I67"/>
  <sheetViews>
    <sheetView topLeftCell="A34" workbookViewId="0">
      <selection activeCell="C52" sqref="C52"/>
    </sheetView>
  </sheetViews>
  <sheetFormatPr defaultRowHeight="14.5" x14ac:dyDescent="0.35"/>
  <cols>
    <col min="1" max="1" width="1.6328125" customWidth="1"/>
    <col min="2" max="9" width="20.6328125" customWidth="1"/>
  </cols>
  <sheetData>
    <row r="1" spans="1:9" ht="15" thickBot="1" x14ac:dyDescent="0.4">
      <c r="A1" s="20"/>
      <c r="B1" s="20"/>
      <c r="C1" s="9"/>
      <c r="D1" s="9"/>
      <c r="E1" s="9"/>
      <c r="F1" s="9"/>
      <c r="G1" s="9"/>
      <c r="H1" s="9"/>
      <c r="I1" s="9"/>
    </row>
    <row r="2" spans="1:9" ht="15" thickBot="1" x14ac:dyDescent="0.4">
      <c r="A2" s="9"/>
      <c r="B2" s="21" t="s">
        <v>34</v>
      </c>
      <c r="C2" s="22"/>
      <c r="D2" s="22"/>
      <c r="E2" s="22"/>
      <c r="F2" s="22"/>
      <c r="G2" s="22"/>
      <c r="H2" s="22"/>
      <c r="I2" s="22"/>
    </row>
    <row r="3" spans="1:9" ht="15" thickBot="1" x14ac:dyDescent="0.4">
      <c r="A3" s="20"/>
      <c r="B3" s="20"/>
      <c r="C3" s="9"/>
      <c r="D3" s="9"/>
      <c r="E3" s="9"/>
      <c r="F3" s="9"/>
      <c r="G3" s="9"/>
      <c r="H3" s="9"/>
      <c r="I3" s="9"/>
    </row>
    <row r="4" spans="1:9" ht="15" thickBot="1" x14ac:dyDescent="0.4">
      <c r="A4" s="9"/>
      <c r="B4" s="21" t="s">
        <v>35</v>
      </c>
      <c r="C4" s="22"/>
      <c r="D4" s="22"/>
      <c r="E4" s="22"/>
      <c r="F4" s="22"/>
      <c r="G4" s="22"/>
      <c r="H4" s="22"/>
      <c r="I4" s="22"/>
    </row>
    <row r="5" spans="1:9" ht="15" thickBot="1" x14ac:dyDescent="0.4">
      <c r="A5" s="20"/>
      <c r="B5" s="20"/>
      <c r="C5" s="9"/>
      <c r="D5" s="9"/>
      <c r="E5" s="9"/>
      <c r="F5" s="9"/>
      <c r="G5" s="9"/>
      <c r="H5" s="9"/>
      <c r="I5" s="9"/>
    </row>
    <row r="6" spans="1:9" ht="15" thickBot="1" x14ac:dyDescent="0.4">
      <c r="A6" s="9"/>
      <c r="B6" s="21" t="s">
        <v>36</v>
      </c>
      <c r="C6" s="22"/>
      <c r="D6" s="22"/>
      <c r="E6" s="22"/>
      <c r="F6" s="22"/>
      <c r="G6" s="22"/>
      <c r="H6" s="22"/>
      <c r="I6" s="22"/>
    </row>
    <row r="7" spans="1:9" x14ac:dyDescent="0.35">
      <c r="A7" s="9"/>
      <c r="B7" s="10" t="s">
        <v>1</v>
      </c>
      <c r="C7" s="3" t="s">
        <v>40</v>
      </c>
      <c r="D7" s="11" t="s">
        <v>2</v>
      </c>
      <c r="E7" s="11" t="s">
        <v>3</v>
      </c>
      <c r="F7" s="11" t="s">
        <v>4</v>
      </c>
      <c r="G7" s="11" t="s">
        <v>5</v>
      </c>
      <c r="H7" s="11" t="s">
        <v>6</v>
      </c>
      <c r="I7" s="11" t="s">
        <v>7</v>
      </c>
    </row>
    <row r="8" spans="1:9" x14ac:dyDescent="0.35">
      <c r="A8" s="9"/>
      <c r="B8" s="4" t="s">
        <v>10</v>
      </c>
      <c r="C8" s="4">
        <v>2</v>
      </c>
      <c r="D8" s="4">
        <v>20</v>
      </c>
      <c r="E8" s="4"/>
      <c r="F8" s="4"/>
      <c r="G8" s="4">
        <v>22</v>
      </c>
      <c r="H8" s="12">
        <v>22</v>
      </c>
      <c r="I8" s="12">
        <v>1</v>
      </c>
    </row>
    <row r="9" spans="1:9" x14ac:dyDescent="0.35">
      <c r="A9" s="9"/>
      <c r="B9" s="4" t="s">
        <v>11</v>
      </c>
      <c r="C9" s="4">
        <v>2</v>
      </c>
      <c r="D9" s="4">
        <v>10</v>
      </c>
      <c r="E9" s="4"/>
      <c r="F9" s="4">
        <v>5</v>
      </c>
      <c r="G9" s="4">
        <v>17</v>
      </c>
      <c r="H9" s="12">
        <v>17</v>
      </c>
      <c r="I9" s="12">
        <v>2</v>
      </c>
    </row>
    <row r="10" spans="1:9" x14ac:dyDescent="0.35">
      <c r="A10" s="9"/>
      <c r="B10" s="4" t="s">
        <v>13</v>
      </c>
      <c r="C10" s="4">
        <v>2</v>
      </c>
      <c r="D10" s="4"/>
      <c r="E10" s="4"/>
      <c r="F10" s="4">
        <v>5</v>
      </c>
      <c r="G10" s="4">
        <v>7</v>
      </c>
      <c r="H10" s="12">
        <v>7</v>
      </c>
      <c r="I10" s="12">
        <v>3</v>
      </c>
    </row>
    <row r="11" spans="1:9" x14ac:dyDescent="0.35">
      <c r="A11" s="9"/>
      <c r="B11" s="4" t="s">
        <v>8</v>
      </c>
      <c r="C11" s="4">
        <v>2</v>
      </c>
      <c r="D11" s="4"/>
      <c r="E11" s="4"/>
      <c r="F11" s="4">
        <v>5</v>
      </c>
      <c r="G11" s="4">
        <v>7</v>
      </c>
      <c r="H11" s="12">
        <v>7</v>
      </c>
      <c r="I11" s="12">
        <v>3</v>
      </c>
    </row>
    <row r="12" spans="1:9" x14ac:dyDescent="0.35">
      <c r="A12" s="9"/>
      <c r="B12" s="4" t="s">
        <v>9</v>
      </c>
      <c r="C12" s="4">
        <v>2</v>
      </c>
      <c r="D12" s="4"/>
      <c r="E12" s="4"/>
      <c r="F12" s="4"/>
      <c r="G12" s="4">
        <v>2</v>
      </c>
      <c r="H12" s="12">
        <v>2</v>
      </c>
      <c r="I12" s="12">
        <v>5</v>
      </c>
    </row>
    <row r="13" spans="1:9" x14ac:dyDescent="0.35">
      <c r="A13" s="9"/>
      <c r="B13" s="4" t="s">
        <v>16</v>
      </c>
      <c r="C13" s="4">
        <v>2</v>
      </c>
      <c r="D13" s="4"/>
      <c r="E13" s="4"/>
      <c r="F13" s="4"/>
      <c r="G13" s="4">
        <v>2</v>
      </c>
      <c r="H13" s="12">
        <v>2</v>
      </c>
      <c r="I13" s="12">
        <v>5</v>
      </c>
    </row>
    <row r="14" spans="1:9" x14ac:dyDescent="0.35">
      <c r="A14" s="9"/>
      <c r="B14" s="4" t="s">
        <v>12</v>
      </c>
      <c r="C14" s="4">
        <v>2</v>
      </c>
      <c r="D14" s="4"/>
      <c r="E14" s="4"/>
      <c r="F14" s="4"/>
      <c r="G14" s="4">
        <v>2</v>
      </c>
      <c r="H14" s="12">
        <v>2</v>
      </c>
      <c r="I14" s="12">
        <v>5</v>
      </c>
    </row>
    <row r="15" spans="1:9" x14ac:dyDescent="0.35">
      <c r="A15" s="9"/>
      <c r="B15" s="4" t="s">
        <v>17</v>
      </c>
      <c r="C15" s="4">
        <v>2</v>
      </c>
      <c r="D15" s="4"/>
      <c r="E15" s="4"/>
      <c r="F15" s="4"/>
      <c r="G15" s="4">
        <v>2</v>
      </c>
      <c r="H15" s="12">
        <v>2</v>
      </c>
      <c r="I15" s="12">
        <v>5</v>
      </c>
    </row>
    <row r="16" spans="1:9" x14ac:dyDescent="0.35">
      <c r="A16" s="9"/>
      <c r="B16" s="4" t="s">
        <v>14</v>
      </c>
      <c r="C16" s="4">
        <v>0</v>
      </c>
      <c r="D16" s="4"/>
      <c r="E16" s="4"/>
      <c r="F16" s="4"/>
      <c r="G16" s="4">
        <v>0</v>
      </c>
      <c r="H16" s="12">
        <v>0</v>
      </c>
      <c r="I16" s="12">
        <v>9</v>
      </c>
    </row>
    <row r="17" spans="1:9" x14ac:dyDescent="0.35">
      <c r="A17" s="9"/>
      <c r="B17" s="4" t="s">
        <v>15</v>
      </c>
      <c r="C17" s="4">
        <v>0</v>
      </c>
      <c r="D17" s="4"/>
      <c r="E17" s="4"/>
      <c r="F17" s="4"/>
      <c r="G17" s="4">
        <v>0</v>
      </c>
      <c r="H17" s="12">
        <v>0</v>
      </c>
      <c r="I17" s="12">
        <v>9</v>
      </c>
    </row>
    <row r="18" spans="1:9" x14ac:dyDescent="0.35">
      <c r="A18" s="9"/>
      <c r="B18" s="4" t="s">
        <v>18</v>
      </c>
      <c r="C18" s="6">
        <v>0</v>
      </c>
      <c r="D18" s="4"/>
      <c r="E18" s="4"/>
      <c r="F18" s="4"/>
      <c r="G18" s="4">
        <v>0</v>
      </c>
      <c r="H18" s="12">
        <v>0</v>
      </c>
      <c r="I18" s="12">
        <v>9</v>
      </c>
    </row>
    <row r="19" spans="1:9" x14ac:dyDescent="0.35">
      <c r="A19" s="9"/>
      <c r="B19" s="13" t="s">
        <v>19</v>
      </c>
      <c r="C19" s="13">
        <v>16</v>
      </c>
      <c r="D19" s="13">
        <v>30</v>
      </c>
      <c r="E19" s="13">
        <v>0</v>
      </c>
      <c r="F19" s="13">
        <v>15</v>
      </c>
      <c r="G19" s="13">
        <v>61</v>
      </c>
      <c r="H19" s="13">
        <v>61</v>
      </c>
      <c r="I19" s="13"/>
    </row>
    <row r="20" spans="1:9" ht="15" thickBot="1" x14ac:dyDescent="0.4">
      <c r="A20" s="20"/>
      <c r="B20" s="20"/>
      <c r="C20" s="9"/>
      <c r="D20" s="9"/>
      <c r="E20" s="9"/>
      <c r="F20" s="9"/>
      <c r="G20" s="9"/>
      <c r="H20" s="9"/>
      <c r="I20" s="9"/>
    </row>
    <row r="21" spans="1:9" ht="15" thickBot="1" x14ac:dyDescent="0.4">
      <c r="A21" s="9"/>
      <c r="B21" s="21" t="s">
        <v>37</v>
      </c>
      <c r="C21" s="22"/>
      <c r="D21" s="22"/>
      <c r="E21" s="22"/>
      <c r="F21" s="22"/>
      <c r="G21" s="22"/>
      <c r="H21" s="22"/>
      <c r="I21" s="22"/>
    </row>
    <row r="22" spans="1:9" x14ac:dyDescent="0.35">
      <c r="A22" s="9"/>
      <c r="B22" s="10" t="s">
        <v>1</v>
      </c>
      <c r="C22" s="3" t="s">
        <v>40</v>
      </c>
      <c r="D22" s="11" t="s">
        <v>2</v>
      </c>
      <c r="E22" s="11" t="s">
        <v>3</v>
      </c>
      <c r="F22" s="11" t="s">
        <v>4</v>
      </c>
      <c r="G22" s="11" t="s">
        <v>5</v>
      </c>
      <c r="H22" s="11" t="s">
        <v>6</v>
      </c>
      <c r="I22" s="11" t="s">
        <v>7</v>
      </c>
    </row>
    <row r="23" spans="1:9" x14ac:dyDescent="0.35">
      <c r="A23" s="9"/>
      <c r="B23" s="4" t="s">
        <v>10</v>
      </c>
      <c r="C23" s="4">
        <v>2</v>
      </c>
      <c r="D23" s="4"/>
      <c r="E23" s="4"/>
      <c r="F23" s="4"/>
      <c r="G23" s="4">
        <v>2</v>
      </c>
      <c r="H23" s="12">
        <v>24</v>
      </c>
      <c r="I23" s="12">
        <v>1</v>
      </c>
    </row>
    <row r="24" spans="1:9" x14ac:dyDescent="0.35">
      <c r="A24" s="9"/>
      <c r="B24" s="4" t="s">
        <v>8</v>
      </c>
      <c r="C24" s="4">
        <v>2</v>
      </c>
      <c r="D24" s="4">
        <v>10</v>
      </c>
      <c r="E24" s="4"/>
      <c r="F24" s="4">
        <v>5</v>
      </c>
      <c r="G24" s="4">
        <v>17</v>
      </c>
      <c r="H24" s="12">
        <v>24</v>
      </c>
      <c r="I24" s="12">
        <v>1</v>
      </c>
    </row>
    <row r="25" spans="1:9" x14ac:dyDescent="0.35">
      <c r="A25" s="9"/>
      <c r="B25" s="4" t="s">
        <v>11</v>
      </c>
      <c r="C25" s="4">
        <v>2</v>
      </c>
      <c r="D25" s="4"/>
      <c r="E25" s="4"/>
      <c r="F25" s="4"/>
      <c r="G25" s="4">
        <v>2</v>
      </c>
      <c r="H25" s="12">
        <v>19</v>
      </c>
      <c r="I25" s="12">
        <v>3</v>
      </c>
    </row>
    <row r="26" spans="1:9" x14ac:dyDescent="0.35">
      <c r="A26" s="9"/>
      <c r="B26" s="4" t="s">
        <v>12</v>
      </c>
      <c r="C26" s="4">
        <v>2</v>
      </c>
      <c r="D26" s="4">
        <v>10</v>
      </c>
      <c r="E26" s="4"/>
      <c r="F26" s="4"/>
      <c r="G26" s="4">
        <v>12</v>
      </c>
      <c r="H26" s="12">
        <v>14</v>
      </c>
      <c r="I26" s="12">
        <v>4</v>
      </c>
    </row>
    <row r="27" spans="1:9" x14ac:dyDescent="0.35">
      <c r="A27" s="9"/>
      <c r="B27" s="4" t="s">
        <v>13</v>
      </c>
      <c r="C27" s="4">
        <v>2</v>
      </c>
      <c r="D27" s="4"/>
      <c r="E27" s="4"/>
      <c r="F27" s="4"/>
      <c r="G27" s="4">
        <v>2</v>
      </c>
      <c r="H27" s="12">
        <v>9</v>
      </c>
      <c r="I27" s="12">
        <v>5</v>
      </c>
    </row>
    <row r="28" spans="1:9" x14ac:dyDescent="0.35">
      <c r="A28" s="9"/>
      <c r="B28" s="4" t="s">
        <v>16</v>
      </c>
      <c r="C28" s="4">
        <v>2</v>
      </c>
      <c r="D28" s="4"/>
      <c r="E28" s="4"/>
      <c r="F28" s="4">
        <v>5</v>
      </c>
      <c r="G28" s="4">
        <v>7</v>
      </c>
      <c r="H28" s="12">
        <v>9</v>
      </c>
      <c r="I28" s="12">
        <v>5</v>
      </c>
    </row>
    <row r="29" spans="1:9" x14ac:dyDescent="0.35">
      <c r="A29" s="9"/>
      <c r="B29" s="4" t="s">
        <v>9</v>
      </c>
      <c r="C29" s="4">
        <v>2</v>
      </c>
      <c r="D29" s="4"/>
      <c r="E29" s="4"/>
      <c r="F29" s="4"/>
      <c r="G29" s="4">
        <v>2</v>
      </c>
      <c r="H29" s="12">
        <v>4</v>
      </c>
      <c r="I29" s="12">
        <v>7</v>
      </c>
    </row>
    <row r="30" spans="1:9" x14ac:dyDescent="0.35">
      <c r="A30" s="9"/>
      <c r="B30" s="4" t="s">
        <v>17</v>
      </c>
      <c r="C30" s="4">
        <v>2</v>
      </c>
      <c r="D30" s="4"/>
      <c r="E30" s="4"/>
      <c r="F30" s="4"/>
      <c r="G30" s="4">
        <v>2</v>
      </c>
      <c r="H30" s="12">
        <v>4</v>
      </c>
      <c r="I30" s="12">
        <v>7</v>
      </c>
    </row>
    <row r="31" spans="1:9" x14ac:dyDescent="0.35">
      <c r="A31" s="9"/>
      <c r="B31" s="4" t="s">
        <v>14</v>
      </c>
      <c r="C31" s="4">
        <v>2</v>
      </c>
      <c r="D31" s="4"/>
      <c r="E31" s="4"/>
      <c r="F31" s="4"/>
      <c r="G31" s="4">
        <v>2</v>
      </c>
      <c r="H31" s="12">
        <v>2</v>
      </c>
      <c r="I31" s="12">
        <v>9</v>
      </c>
    </row>
    <row r="32" spans="1:9" x14ac:dyDescent="0.35">
      <c r="A32" s="9"/>
      <c r="B32" s="4" t="s">
        <v>15</v>
      </c>
      <c r="C32" s="4">
        <v>0</v>
      </c>
      <c r="D32" s="4"/>
      <c r="E32" s="4"/>
      <c r="F32" s="4"/>
      <c r="G32" s="4">
        <v>0</v>
      </c>
      <c r="H32" s="12">
        <v>0</v>
      </c>
      <c r="I32" s="12">
        <v>10</v>
      </c>
    </row>
    <row r="33" spans="1:9" x14ac:dyDescent="0.35">
      <c r="A33" s="9"/>
      <c r="B33" s="4" t="s">
        <v>18</v>
      </c>
      <c r="C33" s="6">
        <v>0</v>
      </c>
      <c r="D33" s="4"/>
      <c r="E33" s="4"/>
      <c r="F33" s="4"/>
      <c r="G33" s="4">
        <v>0</v>
      </c>
      <c r="H33" s="12">
        <v>0</v>
      </c>
      <c r="I33" s="12">
        <v>10</v>
      </c>
    </row>
    <row r="34" spans="1:9" x14ac:dyDescent="0.35">
      <c r="A34" s="9"/>
      <c r="B34" s="13" t="s">
        <v>19</v>
      </c>
      <c r="C34" s="13">
        <v>18</v>
      </c>
      <c r="D34" s="13">
        <v>20</v>
      </c>
      <c r="E34" s="13">
        <v>0</v>
      </c>
      <c r="F34" s="13">
        <v>10</v>
      </c>
      <c r="G34" s="13">
        <v>48</v>
      </c>
      <c r="H34" s="13">
        <v>109</v>
      </c>
      <c r="I34" s="13"/>
    </row>
    <row r="35" spans="1:9" ht="15" thickBot="1" x14ac:dyDescent="0.4">
      <c r="A35" s="20"/>
      <c r="B35" s="20"/>
      <c r="C35" s="9"/>
      <c r="D35" s="9"/>
      <c r="E35" s="9"/>
      <c r="F35" s="9"/>
      <c r="G35" s="9"/>
      <c r="H35" s="9"/>
      <c r="I35" s="9"/>
    </row>
    <row r="36" spans="1:9" ht="15" thickBot="1" x14ac:dyDescent="0.4">
      <c r="A36" s="9"/>
      <c r="B36" s="21" t="s">
        <v>38</v>
      </c>
      <c r="C36" s="22"/>
      <c r="D36" s="22"/>
      <c r="E36" s="22"/>
      <c r="F36" s="22"/>
      <c r="G36" s="22"/>
      <c r="H36" s="22"/>
      <c r="I36" s="22"/>
    </row>
    <row r="37" spans="1:9" x14ac:dyDescent="0.35">
      <c r="A37" s="9"/>
      <c r="B37" s="10" t="s">
        <v>1</v>
      </c>
      <c r="C37" s="3" t="s">
        <v>40</v>
      </c>
      <c r="D37" s="11" t="s">
        <v>2</v>
      </c>
      <c r="E37" s="11" t="s">
        <v>3</v>
      </c>
      <c r="F37" s="11" t="s">
        <v>4</v>
      </c>
      <c r="G37" s="11" t="s">
        <v>5</v>
      </c>
      <c r="H37" s="11" t="s">
        <v>6</v>
      </c>
      <c r="I37" s="11" t="s">
        <v>7</v>
      </c>
    </row>
    <row r="38" spans="1:9" x14ac:dyDescent="0.35">
      <c r="A38" s="9"/>
      <c r="B38" s="4" t="s">
        <v>10</v>
      </c>
      <c r="C38" s="4">
        <v>2</v>
      </c>
      <c r="D38" s="4"/>
      <c r="E38" s="4"/>
      <c r="F38" s="4"/>
      <c r="G38" s="4">
        <v>2</v>
      </c>
      <c r="H38" s="12">
        <v>26</v>
      </c>
      <c r="I38" s="12">
        <v>2</v>
      </c>
    </row>
    <row r="39" spans="1:9" x14ac:dyDescent="0.35">
      <c r="A39" s="9"/>
      <c r="B39" s="4" t="s">
        <v>8</v>
      </c>
      <c r="C39" s="4">
        <v>2</v>
      </c>
      <c r="D39" s="4">
        <v>20</v>
      </c>
      <c r="E39" s="4">
        <v>7.5</v>
      </c>
      <c r="F39" s="4"/>
      <c r="G39" s="4">
        <v>29.5</v>
      </c>
      <c r="H39" s="12">
        <v>53.5</v>
      </c>
      <c r="I39" s="12">
        <v>1</v>
      </c>
    </row>
    <row r="40" spans="1:9" x14ac:dyDescent="0.35">
      <c r="A40" s="9"/>
      <c r="B40" s="4" t="s">
        <v>11</v>
      </c>
      <c r="C40" s="4">
        <v>2</v>
      </c>
      <c r="D40" s="4"/>
      <c r="E40" s="4"/>
      <c r="F40" s="4"/>
      <c r="G40" s="4">
        <v>2</v>
      </c>
      <c r="H40" s="12">
        <v>21</v>
      </c>
      <c r="I40" s="12">
        <v>3</v>
      </c>
    </row>
    <row r="41" spans="1:9" x14ac:dyDescent="0.35">
      <c r="A41" s="9"/>
      <c r="B41" s="4" t="s">
        <v>12</v>
      </c>
      <c r="C41" s="4">
        <v>2</v>
      </c>
      <c r="D41" s="4"/>
      <c r="E41" s="4"/>
      <c r="F41" s="4">
        <v>5</v>
      </c>
      <c r="G41" s="4">
        <v>7</v>
      </c>
      <c r="H41" s="12">
        <v>21</v>
      </c>
      <c r="I41" s="12">
        <v>3</v>
      </c>
    </row>
    <row r="42" spans="1:9" x14ac:dyDescent="0.35">
      <c r="A42" s="9"/>
      <c r="B42" s="4" t="s">
        <v>13</v>
      </c>
      <c r="C42" s="4">
        <v>2</v>
      </c>
      <c r="D42" s="4"/>
      <c r="E42" s="4">
        <v>7.5</v>
      </c>
      <c r="F42" s="4"/>
      <c r="G42" s="4">
        <v>9.5</v>
      </c>
      <c r="H42" s="12">
        <v>18.5</v>
      </c>
      <c r="I42" s="12">
        <v>5</v>
      </c>
    </row>
    <row r="43" spans="1:9" x14ac:dyDescent="0.35">
      <c r="A43" s="9"/>
      <c r="B43" s="4" t="s">
        <v>16</v>
      </c>
      <c r="C43" s="4">
        <v>2</v>
      </c>
      <c r="D43" s="4"/>
      <c r="E43" s="4"/>
      <c r="F43" s="4"/>
      <c r="G43" s="4">
        <v>2</v>
      </c>
      <c r="H43" s="12">
        <v>11</v>
      </c>
      <c r="I43" s="12">
        <v>6</v>
      </c>
    </row>
    <row r="44" spans="1:9" x14ac:dyDescent="0.35">
      <c r="A44" s="9"/>
      <c r="B44" s="4" t="s">
        <v>9</v>
      </c>
      <c r="C44" s="4">
        <v>2</v>
      </c>
      <c r="D44" s="4"/>
      <c r="E44" s="4"/>
      <c r="F44" s="4">
        <v>5</v>
      </c>
      <c r="G44" s="4">
        <v>7</v>
      </c>
      <c r="H44" s="12">
        <v>11</v>
      </c>
      <c r="I44" s="12">
        <v>6</v>
      </c>
    </row>
    <row r="45" spans="1:9" x14ac:dyDescent="0.35">
      <c r="A45" s="9"/>
      <c r="B45" s="4" t="s">
        <v>17</v>
      </c>
      <c r="C45" s="4">
        <v>2</v>
      </c>
      <c r="D45" s="4"/>
      <c r="E45" s="4"/>
      <c r="F45" s="4"/>
      <c r="G45" s="4">
        <v>2</v>
      </c>
      <c r="H45" s="12">
        <v>6</v>
      </c>
      <c r="I45" s="12">
        <v>8</v>
      </c>
    </row>
    <row r="46" spans="1:9" x14ac:dyDescent="0.35">
      <c r="A46" s="9"/>
      <c r="B46" s="4" t="s">
        <v>14</v>
      </c>
      <c r="C46" s="4">
        <v>2</v>
      </c>
      <c r="D46" s="4"/>
      <c r="E46" s="4"/>
      <c r="F46" s="4"/>
      <c r="G46" s="4">
        <v>2</v>
      </c>
      <c r="H46" s="12">
        <v>4</v>
      </c>
      <c r="I46" s="12">
        <v>9</v>
      </c>
    </row>
    <row r="47" spans="1:9" x14ac:dyDescent="0.35">
      <c r="A47" s="9"/>
      <c r="B47" s="4" t="s">
        <v>15</v>
      </c>
      <c r="C47" s="4">
        <v>0</v>
      </c>
      <c r="D47" s="4"/>
      <c r="E47" s="4"/>
      <c r="F47" s="4"/>
      <c r="G47" s="4">
        <v>0</v>
      </c>
      <c r="H47" s="12">
        <v>0</v>
      </c>
      <c r="I47" s="12">
        <v>10</v>
      </c>
    </row>
    <row r="48" spans="1:9" x14ac:dyDescent="0.35">
      <c r="A48" s="9"/>
      <c r="B48" s="4" t="s">
        <v>18</v>
      </c>
      <c r="C48" s="6">
        <v>0</v>
      </c>
      <c r="D48" s="4"/>
      <c r="E48" s="4"/>
      <c r="F48" s="4"/>
      <c r="G48" s="4">
        <v>0</v>
      </c>
      <c r="H48" s="12">
        <v>0</v>
      </c>
      <c r="I48" s="12">
        <v>10</v>
      </c>
    </row>
    <row r="49" spans="1:9" x14ac:dyDescent="0.35">
      <c r="A49" s="9"/>
      <c r="B49" s="13" t="s">
        <v>19</v>
      </c>
      <c r="C49" s="13">
        <v>18</v>
      </c>
      <c r="D49" s="13">
        <v>20</v>
      </c>
      <c r="E49" s="13">
        <v>15</v>
      </c>
      <c r="F49" s="13">
        <v>10</v>
      </c>
      <c r="G49" s="13">
        <v>63</v>
      </c>
      <c r="H49" s="13">
        <v>172</v>
      </c>
      <c r="I49" s="13"/>
    </row>
    <row r="50" spans="1:9" ht="15" thickBot="1" x14ac:dyDescent="0.4">
      <c r="A50" s="20"/>
      <c r="B50" s="20"/>
      <c r="C50" s="8"/>
      <c r="D50" s="8"/>
      <c r="E50" s="8"/>
      <c r="F50" s="8"/>
      <c r="G50" s="8"/>
      <c r="H50" s="9"/>
      <c r="I50" s="9"/>
    </row>
    <row r="51" spans="1:9" ht="15" thickBot="1" x14ac:dyDescent="0.4">
      <c r="A51" s="9"/>
      <c r="B51" s="21" t="s">
        <v>39</v>
      </c>
      <c r="C51" s="22"/>
      <c r="D51" s="22"/>
      <c r="E51" s="22"/>
      <c r="F51" s="22"/>
      <c r="G51" s="22"/>
      <c r="H51" s="22"/>
      <c r="I51" s="22"/>
    </row>
    <row r="52" spans="1:9" x14ac:dyDescent="0.35">
      <c r="A52" s="9"/>
      <c r="B52" s="10" t="s">
        <v>1</v>
      </c>
      <c r="C52" s="3" t="s">
        <v>40</v>
      </c>
      <c r="D52" s="11" t="s">
        <v>2</v>
      </c>
      <c r="E52" s="11" t="s">
        <v>3</v>
      </c>
      <c r="F52" s="11" t="s">
        <v>4</v>
      </c>
      <c r="G52" s="11" t="s">
        <v>5</v>
      </c>
      <c r="H52" s="11" t="s">
        <v>6</v>
      </c>
      <c r="I52" s="11" t="s">
        <v>7</v>
      </c>
    </row>
    <row r="53" spans="1:9" x14ac:dyDescent="0.35">
      <c r="A53" s="9"/>
      <c r="B53" s="4" t="s">
        <v>10</v>
      </c>
      <c r="C53" s="4">
        <v>2</v>
      </c>
      <c r="D53" s="4"/>
      <c r="E53" s="4">
        <v>7.5</v>
      </c>
      <c r="F53" s="4">
        <v>5</v>
      </c>
      <c r="G53" s="4">
        <v>14.5</v>
      </c>
      <c r="H53" s="12">
        <v>40.5</v>
      </c>
      <c r="I53" s="12">
        <v>2</v>
      </c>
    </row>
    <row r="54" spans="1:9" x14ac:dyDescent="0.35">
      <c r="A54" s="9"/>
      <c r="B54" s="14" t="s">
        <v>8</v>
      </c>
      <c r="C54" s="14">
        <v>2</v>
      </c>
      <c r="D54" s="14"/>
      <c r="E54" s="14">
        <v>7.5</v>
      </c>
      <c r="F54" s="14"/>
      <c r="G54" s="14">
        <v>9.5</v>
      </c>
      <c r="H54" s="14">
        <v>63</v>
      </c>
      <c r="I54" s="14">
        <v>1</v>
      </c>
    </row>
    <row r="55" spans="1:9" x14ac:dyDescent="0.35">
      <c r="A55" s="9"/>
      <c r="B55" s="4" t="s">
        <v>11</v>
      </c>
      <c r="C55" s="4">
        <v>2</v>
      </c>
      <c r="D55" s="4"/>
      <c r="E55" s="4">
        <v>7.5</v>
      </c>
      <c r="F55" s="4"/>
      <c r="G55" s="4">
        <v>9.5</v>
      </c>
      <c r="H55" s="12">
        <v>30.5</v>
      </c>
      <c r="I55" s="12">
        <v>3</v>
      </c>
    </row>
    <row r="56" spans="1:9" x14ac:dyDescent="0.35">
      <c r="A56" s="9"/>
      <c r="B56" s="4" t="s">
        <v>12</v>
      </c>
      <c r="C56" s="4">
        <v>2</v>
      </c>
      <c r="D56" s="4"/>
      <c r="E56" s="4"/>
      <c r="F56" s="4"/>
      <c r="G56" s="4">
        <v>2</v>
      </c>
      <c r="H56" s="12">
        <v>23</v>
      </c>
      <c r="I56" s="12">
        <v>5</v>
      </c>
    </row>
    <row r="57" spans="1:9" x14ac:dyDescent="0.35">
      <c r="A57" s="9"/>
      <c r="B57" s="4" t="s">
        <v>13</v>
      </c>
      <c r="C57" s="4">
        <v>2</v>
      </c>
      <c r="D57" s="4">
        <v>10</v>
      </c>
      <c r="E57" s="4"/>
      <c r="F57" s="4"/>
      <c r="G57" s="4">
        <v>12</v>
      </c>
      <c r="H57" s="12">
        <v>30.5</v>
      </c>
      <c r="I57" s="12">
        <v>3</v>
      </c>
    </row>
    <row r="58" spans="1:9" x14ac:dyDescent="0.35">
      <c r="A58" s="9"/>
      <c r="B58" s="4" t="s">
        <v>16</v>
      </c>
      <c r="C58" s="4">
        <v>2</v>
      </c>
      <c r="D58" s="4"/>
      <c r="E58" s="4"/>
      <c r="F58" s="4"/>
      <c r="G58" s="4">
        <v>2</v>
      </c>
      <c r="H58" s="12">
        <v>13</v>
      </c>
      <c r="I58" s="12">
        <v>7</v>
      </c>
    </row>
    <row r="59" spans="1:9" x14ac:dyDescent="0.35">
      <c r="A59" s="9"/>
      <c r="B59" s="4" t="s">
        <v>9</v>
      </c>
      <c r="C59" s="4">
        <v>2</v>
      </c>
      <c r="D59" s="4"/>
      <c r="E59" s="4">
        <v>7.5</v>
      </c>
      <c r="F59" s="4"/>
      <c r="G59" s="4">
        <v>9.5</v>
      </c>
      <c r="H59" s="12">
        <v>20.5</v>
      </c>
      <c r="I59" s="12">
        <v>6</v>
      </c>
    </row>
    <row r="60" spans="1:9" x14ac:dyDescent="0.35">
      <c r="A60" s="9"/>
      <c r="B60" s="4" t="s">
        <v>17</v>
      </c>
      <c r="C60" s="4">
        <v>2</v>
      </c>
      <c r="D60" s="4"/>
      <c r="E60" s="4"/>
      <c r="F60" s="4"/>
      <c r="G60" s="4">
        <v>2</v>
      </c>
      <c r="H60" s="12">
        <v>8</v>
      </c>
      <c r="I60" s="12">
        <v>8</v>
      </c>
    </row>
    <row r="61" spans="1:9" x14ac:dyDescent="0.35">
      <c r="A61" s="9"/>
      <c r="B61" s="4" t="s">
        <v>14</v>
      </c>
      <c r="C61" s="4">
        <v>0</v>
      </c>
      <c r="D61" s="4"/>
      <c r="E61" s="4"/>
      <c r="F61" s="4"/>
      <c r="G61" s="4">
        <v>0</v>
      </c>
      <c r="H61" s="12">
        <v>4</v>
      </c>
      <c r="I61" s="12">
        <v>9</v>
      </c>
    </row>
    <row r="62" spans="1:9" x14ac:dyDescent="0.35">
      <c r="A62" s="9"/>
      <c r="B62" s="4" t="s">
        <v>15</v>
      </c>
      <c r="C62" s="4">
        <v>0</v>
      </c>
      <c r="D62" s="4"/>
      <c r="E62" s="4"/>
      <c r="F62" s="4"/>
      <c r="G62" s="4">
        <v>0</v>
      </c>
      <c r="H62" s="12">
        <v>0</v>
      </c>
      <c r="I62" s="12">
        <v>10</v>
      </c>
    </row>
    <row r="63" spans="1:9" x14ac:dyDescent="0.35">
      <c r="A63" s="9"/>
      <c r="B63" s="4" t="s">
        <v>18</v>
      </c>
      <c r="C63" s="6">
        <v>0</v>
      </c>
      <c r="D63" s="4"/>
      <c r="E63" s="4"/>
      <c r="F63" s="4"/>
      <c r="G63" s="4">
        <v>0</v>
      </c>
      <c r="H63" s="12">
        <v>0</v>
      </c>
      <c r="I63" s="12">
        <v>10</v>
      </c>
    </row>
    <row r="64" spans="1:9" x14ac:dyDescent="0.35">
      <c r="A64" s="9"/>
      <c r="B64" s="13" t="s">
        <v>19</v>
      </c>
      <c r="C64" s="13">
        <v>16</v>
      </c>
      <c r="D64" s="13">
        <v>10</v>
      </c>
      <c r="E64" s="13">
        <v>30</v>
      </c>
      <c r="F64" s="13">
        <v>5</v>
      </c>
      <c r="G64" s="13">
        <v>61</v>
      </c>
      <c r="H64" s="13">
        <v>233</v>
      </c>
      <c r="I64" s="13"/>
    </row>
    <row r="65" spans="1:9" x14ac:dyDescent="0.35">
      <c r="A65" s="20"/>
      <c r="B65" s="20"/>
      <c r="C65" s="8"/>
      <c r="D65" s="8"/>
      <c r="E65" s="8"/>
      <c r="F65" s="8"/>
      <c r="G65" s="8"/>
      <c r="H65" s="9"/>
      <c r="I65" s="9"/>
    </row>
    <row r="66" spans="1:9" ht="41.5" customHeight="1" x14ac:dyDescent="0.35">
      <c r="A66" s="9"/>
      <c r="B66" s="15" t="s">
        <v>20</v>
      </c>
      <c r="C66" s="15"/>
      <c r="D66" s="15"/>
      <c r="E66" s="15"/>
      <c r="F66" s="15"/>
      <c r="G66" s="15"/>
      <c r="H66" s="15"/>
      <c r="I66" s="15"/>
    </row>
    <row r="67" spans="1:9" x14ac:dyDescent="0.35">
      <c r="A67" s="9"/>
      <c r="B67" s="15"/>
      <c r="C67" s="15"/>
      <c r="D67" s="15"/>
      <c r="E67" s="15"/>
      <c r="F67" s="15"/>
      <c r="G67" s="15"/>
      <c r="H67" s="15"/>
      <c r="I67" s="15"/>
    </row>
  </sheetData>
  <mergeCells count="14">
    <mergeCell ref="B6:I6"/>
    <mergeCell ref="A65:B65"/>
    <mergeCell ref="B66:I67"/>
    <mergeCell ref="A20:B20"/>
    <mergeCell ref="B21:I21"/>
    <mergeCell ref="A35:B35"/>
    <mergeCell ref="B36:I36"/>
    <mergeCell ref="A50:B50"/>
    <mergeCell ref="B51:I51"/>
    <mergeCell ref="A1:B1"/>
    <mergeCell ref="B2:I2"/>
    <mergeCell ref="A3:B3"/>
    <mergeCell ref="B4:I4"/>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AA94-5273-4175-8BE8-434C334310A0}">
  <dimension ref="B1:I67"/>
  <sheetViews>
    <sheetView topLeftCell="A48" workbookViewId="0">
      <selection activeCell="B48" sqref="B1:I65536"/>
    </sheetView>
  </sheetViews>
  <sheetFormatPr defaultColWidth="9.08984375" defaultRowHeight="14" x14ac:dyDescent="0.3"/>
  <cols>
    <col min="1" max="1" width="1.6328125" style="1" customWidth="1"/>
    <col min="2" max="9" width="20.6328125" style="1" customWidth="1"/>
    <col min="10" max="16384" width="9.08984375" style="1"/>
  </cols>
  <sheetData>
    <row r="1" spans="2:9" ht="14.5" thickBot="1" x14ac:dyDescent="0.35"/>
    <row r="2" spans="2:9" ht="14.5" thickBot="1" x14ac:dyDescent="0.35">
      <c r="B2" s="16" t="s">
        <v>26</v>
      </c>
      <c r="C2" s="17"/>
      <c r="D2" s="17"/>
      <c r="E2" s="17"/>
      <c r="F2" s="17"/>
      <c r="G2" s="17"/>
      <c r="H2" s="18"/>
      <c r="I2" s="19"/>
    </row>
    <row r="3" spans="2:9" ht="14.5" thickBot="1" x14ac:dyDescent="0.35"/>
    <row r="4" spans="2:9" ht="14.5" thickBot="1" x14ac:dyDescent="0.35">
      <c r="B4" s="16" t="s">
        <v>27</v>
      </c>
      <c r="C4" s="17"/>
      <c r="D4" s="17"/>
      <c r="E4" s="17"/>
      <c r="F4" s="17"/>
      <c r="G4" s="17"/>
      <c r="H4" s="18"/>
      <c r="I4" s="19"/>
    </row>
    <row r="5" spans="2:9" ht="14.5" thickBot="1" x14ac:dyDescent="0.35"/>
    <row r="6" spans="2:9" ht="14.5" thickBot="1" x14ac:dyDescent="0.35">
      <c r="B6" s="16" t="s">
        <v>28</v>
      </c>
      <c r="C6" s="17"/>
      <c r="D6" s="17"/>
      <c r="E6" s="17"/>
      <c r="F6" s="17"/>
      <c r="G6" s="17"/>
      <c r="H6" s="18"/>
      <c r="I6" s="19"/>
    </row>
    <row r="7" spans="2:9" x14ac:dyDescent="0.3">
      <c r="B7" s="2" t="s">
        <v>1</v>
      </c>
      <c r="C7" s="3" t="s">
        <v>40</v>
      </c>
      <c r="D7" s="3" t="s">
        <v>2</v>
      </c>
      <c r="E7" s="3" t="s">
        <v>3</v>
      </c>
      <c r="F7" s="3" t="s">
        <v>4</v>
      </c>
      <c r="G7" s="3" t="s">
        <v>5</v>
      </c>
      <c r="H7" s="3" t="s">
        <v>6</v>
      </c>
      <c r="I7" s="3" t="s">
        <v>7</v>
      </c>
    </row>
    <row r="8" spans="2:9" x14ac:dyDescent="0.3">
      <c r="B8" s="4" t="s">
        <v>8</v>
      </c>
      <c r="C8" s="4">
        <v>0</v>
      </c>
      <c r="D8" s="4"/>
      <c r="E8" s="4"/>
      <c r="F8" s="4"/>
      <c r="G8" s="4">
        <f>SUM(C8:F8)</f>
        <v>0</v>
      </c>
      <c r="H8" s="5">
        <f>G8</f>
        <v>0</v>
      </c>
      <c r="I8" s="5">
        <v>11</v>
      </c>
    </row>
    <row r="9" spans="2:9" x14ac:dyDescent="0.3">
      <c r="B9" s="4" t="s">
        <v>11</v>
      </c>
      <c r="C9" s="4">
        <v>2</v>
      </c>
      <c r="D9" s="4"/>
      <c r="E9" s="4"/>
      <c r="F9" s="4">
        <v>5</v>
      </c>
      <c r="G9" s="4">
        <f>SUM(C9:F9)</f>
        <v>7</v>
      </c>
      <c r="H9" s="5">
        <f t="shared" ref="H9:H18" si="0">G9</f>
        <v>7</v>
      </c>
      <c r="I9" s="5">
        <v>4</v>
      </c>
    </row>
    <row r="10" spans="2:9" x14ac:dyDescent="0.3">
      <c r="B10" s="4" t="s">
        <v>15</v>
      </c>
      <c r="C10" s="4">
        <v>0</v>
      </c>
      <c r="D10" s="4"/>
      <c r="E10" s="4"/>
      <c r="F10" s="4"/>
      <c r="G10" s="4">
        <f>SUM(C10:F10)</f>
        <v>0</v>
      </c>
      <c r="H10" s="5">
        <f t="shared" si="0"/>
        <v>0</v>
      </c>
      <c r="I10" s="5">
        <v>9</v>
      </c>
    </row>
    <row r="11" spans="2:9" x14ac:dyDescent="0.3">
      <c r="B11" s="4" t="s">
        <v>9</v>
      </c>
      <c r="C11" s="4">
        <v>2</v>
      </c>
      <c r="D11" s="4"/>
      <c r="E11" s="4"/>
      <c r="F11" s="4">
        <v>5</v>
      </c>
      <c r="G11" s="4">
        <f t="shared" ref="G11:G18" si="1">SUM(C11:F11)</f>
        <v>7</v>
      </c>
      <c r="H11" s="5">
        <f t="shared" si="0"/>
        <v>7</v>
      </c>
      <c r="I11" s="5">
        <v>4</v>
      </c>
    </row>
    <row r="12" spans="2:9" x14ac:dyDescent="0.3">
      <c r="B12" s="4" t="s">
        <v>16</v>
      </c>
      <c r="C12" s="4">
        <v>2</v>
      </c>
      <c r="D12" s="4">
        <v>10</v>
      </c>
      <c r="E12" s="4"/>
      <c r="F12" s="4"/>
      <c r="G12" s="4">
        <f>SUM(C12:F12)</f>
        <v>12</v>
      </c>
      <c r="H12" s="5">
        <f t="shared" si="0"/>
        <v>12</v>
      </c>
      <c r="I12" s="5">
        <v>1</v>
      </c>
    </row>
    <row r="13" spans="2:9" x14ac:dyDescent="0.3">
      <c r="B13" s="4" t="s">
        <v>13</v>
      </c>
      <c r="C13" s="4">
        <v>2</v>
      </c>
      <c r="D13" s="4"/>
      <c r="E13" s="4"/>
      <c r="F13" s="4"/>
      <c r="G13" s="4">
        <f>SUM(C13:F13)</f>
        <v>2</v>
      </c>
      <c r="H13" s="5">
        <f t="shared" si="0"/>
        <v>2</v>
      </c>
      <c r="I13" s="5">
        <v>7</v>
      </c>
    </row>
    <row r="14" spans="2:9" x14ac:dyDescent="0.3">
      <c r="B14" s="4" t="s">
        <v>10</v>
      </c>
      <c r="C14" s="4">
        <v>2</v>
      </c>
      <c r="D14" s="4">
        <v>10</v>
      </c>
      <c r="E14" s="4"/>
      <c r="F14" s="4"/>
      <c r="G14" s="4">
        <f>SUM(C14:F14)</f>
        <v>12</v>
      </c>
      <c r="H14" s="5">
        <f t="shared" si="0"/>
        <v>12</v>
      </c>
      <c r="I14" s="5">
        <v>1</v>
      </c>
    </row>
    <row r="15" spans="2:9" x14ac:dyDescent="0.3">
      <c r="B15" s="4" t="s">
        <v>12</v>
      </c>
      <c r="C15" s="4">
        <v>2</v>
      </c>
      <c r="D15" s="4"/>
      <c r="E15" s="4"/>
      <c r="F15" s="4">
        <v>5</v>
      </c>
      <c r="G15" s="4">
        <f>SUM(C15:F15)</f>
        <v>7</v>
      </c>
      <c r="H15" s="5">
        <f t="shared" si="0"/>
        <v>7</v>
      </c>
      <c r="I15" s="5">
        <v>4</v>
      </c>
    </row>
    <row r="16" spans="2:9" x14ac:dyDescent="0.3">
      <c r="B16" s="4" t="s">
        <v>14</v>
      </c>
      <c r="C16" s="4">
        <v>2</v>
      </c>
      <c r="D16" s="4">
        <v>10</v>
      </c>
      <c r="E16" s="4"/>
      <c r="F16" s="4"/>
      <c r="G16" s="4">
        <f t="shared" si="1"/>
        <v>12</v>
      </c>
      <c r="H16" s="5">
        <f t="shared" si="0"/>
        <v>12</v>
      </c>
      <c r="I16" s="5">
        <v>1</v>
      </c>
    </row>
    <row r="17" spans="2:9" x14ac:dyDescent="0.3">
      <c r="B17" s="4" t="s">
        <v>17</v>
      </c>
      <c r="C17" s="4">
        <v>2</v>
      </c>
      <c r="D17" s="4"/>
      <c r="E17" s="4"/>
      <c r="F17" s="4"/>
      <c r="G17" s="4">
        <f t="shared" si="1"/>
        <v>2</v>
      </c>
      <c r="H17" s="5">
        <f t="shared" si="0"/>
        <v>2</v>
      </c>
      <c r="I17" s="5">
        <v>7</v>
      </c>
    </row>
    <row r="18" spans="2:9" x14ac:dyDescent="0.3">
      <c r="B18" s="4" t="s">
        <v>18</v>
      </c>
      <c r="C18" s="6">
        <v>0</v>
      </c>
      <c r="D18" s="4"/>
      <c r="E18" s="4"/>
      <c r="F18" s="4"/>
      <c r="G18" s="4">
        <f t="shared" si="1"/>
        <v>0</v>
      </c>
      <c r="H18" s="5">
        <f t="shared" si="0"/>
        <v>0</v>
      </c>
      <c r="I18" s="5">
        <v>10</v>
      </c>
    </row>
    <row r="19" spans="2:9" x14ac:dyDescent="0.3">
      <c r="B19" s="7" t="s">
        <v>19</v>
      </c>
      <c r="C19" s="7">
        <f t="shared" ref="C19:H19" si="2">SUM(C8:C18)</f>
        <v>16</v>
      </c>
      <c r="D19" s="7">
        <f t="shared" si="2"/>
        <v>30</v>
      </c>
      <c r="E19" s="7">
        <f t="shared" si="2"/>
        <v>0</v>
      </c>
      <c r="F19" s="7">
        <f t="shared" si="2"/>
        <v>15</v>
      </c>
      <c r="G19" s="7">
        <f t="shared" si="2"/>
        <v>61</v>
      </c>
      <c r="H19" s="7">
        <f t="shared" si="2"/>
        <v>61</v>
      </c>
      <c r="I19" s="7"/>
    </row>
    <row r="20" spans="2:9" ht="14.5" thickBot="1" x14ac:dyDescent="0.35"/>
    <row r="21" spans="2:9" ht="14.5" thickBot="1" x14ac:dyDescent="0.35">
      <c r="B21" s="16" t="s">
        <v>29</v>
      </c>
      <c r="C21" s="17"/>
      <c r="D21" s="17"/>
      <c r="E21" s="17"/>
      <c r="F21" s="17"/>
      <c r="G21" s="17"/>
      <c r="H21" s="18"/>
      <c r="I21" s="19"/>
    </row>
    <row r="22" spans="2:9" x14ac:dyDescent="0.3">
      <c r="B22" s="2" t="s">
        <v>1</v>
      </c>
      <c r="C22" s="3" t="s">
        <v>40</v>
      </c>
      <c r="D22" s="3" t="s">
        <v>2</v>
      </c>
      <c r="E22" s="3" t="s">
        <v>3</v>
      </c>
      <c r="F22" s="3" t="s">
        <v>4</v>
      </c>
      <c r="G22" s="3" t="s">
        <v>5</v>
      </c>
      <c r="H22" s="3" t="s">
        <v>6</v>
      </c>
      <c r="I22" s="3" t="s">
        <v>7</v>
      </c>
    </row>
    <row r="23" spans="2:9" x14ac:dyDescent="0.3">
      <c r="B23" s="4" t="s">
        <v>8</v>
      </c>
      <c r="C23" s="4">
        <v>0</v>
      </c>
      <c r="D23" s="4"/>
      <c r="E23" s="4"/>
      <c r="F23" s="4"/>
      <c r="G23" s="4">
        <f t="shared" ref="G23:G28" si="3">SUM(C23:F23)</f>
        <v>0</v>
      </c>
      <c r="H23" s="5">
        <f>H8+G23</f>
        <v>0</v>
      </c>
      <c r="I23" s="5">
        <v>11</v>
      </c>
    </row>
    <row r="24" spans="2:9" x14ac:dyDescent="0.3">
      <c r="B24" s="4" t="s">
        <v>11</v>
      </c>
      <c r="C24" s="4">
        <v>2</v>
      </c>
      <c r="D24" s="4">
        <v>10</v>
      </c>
      <c r="E24" s="4"/>
      <c r="F24" s="4"/>
      <c r="G24" s="4">
        <f t="shared" si="3"/>
        <v>12</v>
      </c>
      <c r="H24" s="5">
        <f>H9+G24</f>
        <v>19</v>
      </c>
      <c r="I24" s="5">
        <v>2</v>
      </c>
    </row>
    <row r="25" spans="2:9" x14ac:dyDescent="0.3">
      <c r="B25" s="4" t="s">
        <v>13</v>
      </c>
      <c r="C25" s="4">
        <v>2</v>
      </c>
      <c r="D25" s="4">
        <v>10</v>
      </c>
      <c r="E25" s="4">
        <v>2.5</v>
      </c>
      <c r="F25" s="4"/>
      <c r="G25" s="4">
        <f t="shared" si="3"/>
        <v>14.5</v>
      </c>
      <c r="H25" s="5">
        <f>H13+G25</f>
        <v>16.5</v>
      </c>
      <c r="I25" s="5">
        <v>3</v>
      </c>
    </row>
    <row r="26" spans="2:9" x14ac:dyDescent="0.3">
      <c r="B26" s="4" t="s">
        <v>15</v>
      </c>
      <c r="C26" s="4">
        <v>0</v>
      </c>
      <c r="D26" s="4"/>
      <c r="E26" s="4"/>
      <c r="F26" s="4"/>
      <c r="G26" s="4">
        <f t="shared" si="3"/>
        <v>0</v>
      </c>
      <c r="H26" s="5">
        <f>H10+G26</f>
        <v>0</v>
      </c>
      <c r="I26" s="5">
        <v>9</v>
      </c>
    </row>
    <row r="27" spans="2:9" x14ac:dyDescent="0.3">
      <c r="B27" s="4" t="s">
        <v>16</v>
      </c>
      <c r="C27" s="4">
        <v>2</v>
      </c>
      <c r="D27" s="4"/>
      <c r="E27" s="4"/>
      <c r="F27" s="4"/>
      <c r="G27" s="4">
        <f t="shared" si="3"/>
        <v>2</v>
      </c>
      <c r="H27" s="5">
        <f>H12+G27</f>
        <v>14</v>
      </c>
      <c r="I27" s="5">
        <v>5</v>
      </c>
    </row>
    <row r="28" spans="2:9" x14ac:dyDescent="0.3">
      <c r="B28" s="4" t="s">
        <v>10</v>
      </c>
      <c r="C28" s="4">
        <v>2</v>
      </c>
      <c r="D28" s="4">
        <v>10</v>
      </c>
      <c r="E28" s="4"/>
      <c r="F28" s="4">
        <v>5</v>
      </c>
      <c r="G28" s="4">
        <f t="shared" si="3"/>
        <v>17</v>
      </c>
      <c r="H28" s="5">
        <f>H14+G28</f>
        <v>29</v>
      </c>
      <c r="I28" s="5">
        <v>1</v>
      </c>
    </row>
    <row r="29" spans="2:9" x14ac:dyDescent="0.3">
      <c r="B29" s="4" t="s">
        <v>9</v>
      </c>
      <c r="C29" s="4">
        <v>0</v>
      </c>
      <c r="D29" s="4"/>
      <c r="E29" s="4"/>
      <c r="F29" s="4"/>
      <c r="G29" s="4">
        <f>SUM(C29:F29)</f>
        <v>0</v>
      </c>
      <c r="H29" s="5">
        <f>H11+G29</f>
        <v>7</v>
      </c>
      <c r="I29" s="5">
        <v>7</v>
      </c>
    </row>
    <row r="30" spans="2:9" x14ac:dyDescent="0.3">
      <c r="B30" s="4" t="s">
        <v>12</v>
      </c>
      <c r="C30" s="4">
        <v>2</v>
      </c>
      <c r="D30" s="4"/>
      <c r="E30" s="4"/>
      <c r="F30" s="4">
        <v>5</v>
      </c>
      <c r="G30" s="4">
        <f>SUM(C30:F30)</f>
        <v>7</v>
      </c>
      <c r="H30" s="5">
        <f>H15+G30</f>
        <v>14</v>
      </c>
      <c r="I30" s="5">
        <v>5</v>
      </c>
    </row>
    <row r="31" spans="2:9" x14ac:dyDescent="0.3">
      <c r="B31" s="4" t="s">
        <v>14</v>
      </c>
      <c r="C31" s="4">
        <v>2</v>
      </c>
      <c r="D31" s="4"/>
      <c r="E31" s="4">
        <v>2.5</v>
      </c>
      <c r="F31" s="4"/>
      <c r="G31" s="4">
        <f>SUM(C31:F31)</f>
        <v>4.5</v>
      </c>
      <c r="H31" s="5">
        <f>H16+G31</f>
        <v>16.5</v>
      </c>
      <c r="I31" s="5">
        <v>3</v>
      </c>
    </row>
    <row r="32" spans="2:9" x14ac:dyDescent="0.3">
      <c r="B32" s="4" t="s">
        <v>17</v>
      </c>
      <c r="C32" s="4">
        <v>0</v>
      </c>
      <c r="D32" s="4"/>
      <c r="E32" s="4"/>
      <c r="F32" s="4"/>
      <c r="G32" s="4">
        <f>SUM(C32:F32)</f>
        <v>0</v>
      </c>
      <c r="H32" s="5">
        <f>H17+G32</f>
        <v>2</v>
      </c>
      <c r="I32" s="5">
        <v>8</v>
      </c>
    </row>
    <row r="33" spans="2:9" x14ac:dyDescent="0.3">
      <c r="B33" s="4" t="s">
        <v>18</v>
      </c>
      <c r="C33" s="6">
        <v>0</v>
      </c>
      <c r="D33" s="4"/>
      <c r="E33" s="4"/>
      <c r="F33" s="4"/>
      <c r="G33" s="4">
        <f>SUM(C33:F33)</f>
        <v>0</v>
      </c>
      <c r="H33" s="5">
        <f>H18+G33</f>
        <v>0</v>
      </c>
      <c r="I33" s="5">
        <v>10</v>
      </c>
    </row>
    <row r="34" spans="2:9" x14ac:dyDescent="0.3">
      <c r="B34" s="7" t="s">
        <v>19</v>
      </c>
      <c r="C34" s="7">
        <f t="shared" ref="C34:H34" si="4">SUM(C23:C33)</f>
        <v>12</v>
      </c>
      <c r="D34" s="7">
        <f t="shared" si="4"/>
        <v>30</v>
      </c>
      <c r="E34" s="7">
        <f t="shared" si="4"/>
        <v>5</v>
      </c>
      <c r="F34" s="7">
        <f t="shared" si="4"/>
        <v>10</v>
      </c>
      <c r="G34" s="7">
        <f t="shared" si="4"/>
        <v>57</v>
      </c>
      <c r="H34" s="7">
        <f t="shared" si="4"/>
        <v>118</v>
      </c>
      <c r="I34" s="7"/>
    </row>
    <row r="35" spans="2:9" ht="14.5" thickBot="1" x14ac:dyDescent="0.35"/>
    <row r="36" spans="2:9" ht="14.5" thickBot="1" x14ac:dyDescent="0.35">
      <c r="B36" s="16" t="s">
        <v>31</v>
      </c>
      <c r="C36" s="17"/>
      <c r="D36" s="17"/>
      <c r="E36" s="17"/>
      <c r="F36" s="17"/>
      <c r="G36" s="17"/>
      <c r="H36" s="18"/>
      <c r="I36" s="19"/>
    </row>
    <row r="37" spans="2:9" x14ac:dyDescent="0.3">
      <c r="B37" s="2" t="s">
        <v>1</v>
      </c>
      <c r="C37" s="3" t="s">
        <v>40</v>
      </c>
      <c r="D37" s="3" t="s">
        <v>2</v>
      </c>
      <c r="E37" s="3" t="s">
        <v>3</v>
      </c>
      <c r="F37" s="3" t="s">
        <v>4</v>
      </c>
      <c r="G37" s="3" t="s">
        <v>5</v>
      </c>
      <c r="H37" s="3" t="s">
        <v>6</v>
      </c>
      <c r="I37" s="3" t="s">
        <v>7</v>
      </c>
    </row>
    <row r="38" spans="2:9" x14ac:dyDescent="0.3">
      <c r="B38" s="4" t="s">
        <v>11</v>
      </c>
      <c r="C38" s="4">
        <v>2</v>
      </c>
      <c r="D38" s="4"/>
      <c r="E38" s="4"/>
      <c r="F38" s="4"/>
      <c r="G38" s="4">
        <f t="shared" ref="G38:G48" si="5">SUM(C38:F38)</f>
        <v>2</v>
      </c>
      <c r="H38" s="5">
        <f>H24+G38</f>
        <v>21</v>
      </c>
      <c r="I38" s="5">
        <v>4</v>
      </c>
    </row>
    <row r="39" spans="2:9" x14ac:dyDescent="0.3">
      <c r="B39" s="4" t="s">
        <v>16</v>
      </c>
      <c r="C39" s="4">
        <v>2</v>
      </c>
      <c r="D39" s="4"/>
      <c r="E39" s="4"/>
      <c r="F39" s="4">
        <v>15</v>
      </c>
      <c r="G39" s="4">
        <f t="shared" si="5"/>
        <v>17</v>
      </c>
      <c r="H39" s="5">
        <f>H27+G39</f>
        <v>31</v>
      </c>
      <c r="I39" s="5">
        <v>2</v>
      </c>
    </row>
    <row r="40" spans="2:9" x14ac:dyDescent="0.3">
      <c r="B40" s="4" t="s">
        <v>8</v>
      </c>
      <c r="C40" s="4">
        <v>0</v>
      </c>
      <c r="D40" s="4"/>
      <c r="E40" s="4"/>
      <c r="F40" s="4"/>
      <c r="G40" s="4">
        <f t="shared" si="5"/>
        <v>0</v>
      </c>
      <c r="H40" s="5">
        <f>H23+G40</f>
        <v>0</v>
      </c>
      <c r="I40" s="5">
        <v>10</v>
      </c>
    </row>
    <row r="41" spans="2:9" x14ac:dyDescent="0.3">
      <c r="B41" s="4" t="s">
        <v>13</v>
      </c>
      <c r="C41" s="4">
        <v>2</v>
      </c>
      <c r="D41" s="4"/>
      <c r="E41" s="4"/>
      <c r="F41" s="4"/>
      <c r="G41" s="4">
        <f t="shared" si="5"/>
        <v>2</v>
      </c>
      <c r="H41" s="5">
        <f>H25+G41</f>
        <v>18.5</v>
      </c>
      <c r="I41" s="5">
        <v>6</v>
      </c>
    </row>
    <row r="42" spans="2:9" x14ac:dyDescent="0.3">
      <c r="B42" s="4" t="s">
        <v>15</v>
      </c>
      <c r="C42" s="4">
        <v>0</v>
      </c>
      <c r="D42" s="4"/>
      <c r="E42" s="4"/>
      <c r="F42" s="4"/>
      <c r="G42" s="4">
        <f t="shared" si="5"/>
        <v>0</v>
      </c>
      <c r="H42" s="5">
        <f>H26+G42</f>
        <v>0</v>
      </c>
      <c r="I42" s="5">
        <v>9</v>
      </c>
    </row>
    <row r="43" spans="2:9" x14ac:dyDescent="0.3">
      <c r="B43" s="4" t="s">
        <v>10</v>
      </c>
      <c r="C43" s="4">
        <v>2</v>
      </c>
      <c r="D43" s="4">
        <v>10</v>
      </c>
      <c r="E43" s="4"/>
      <c r="F43" s="4"/>
      <c r="G43" s="4">
        <f t="shared" si="5"/>
        <v>12</v>
      </c>
      <c r="H43" s="5">
        <f>H28+G43</f>
        <v>41</v>
      </c>
      <c r="I43" s="5">
        <v>1</v>
      </c>
    </row>
    <row r="44" spans="2:9" x14ac:dyDescent="0.3">
      <c r="B44" s="4" t="s">
        <v>12</v>
      </c>
      <c r="C44" s="4">
        <v>2</v>
      </c>
      <c r="D44" s="4"/>
      <c r="E44" s="4"/>
      <c r="F44" s="4"/>
      <c r="G44" s="4">
        <f t="shared" si="5"/>
        <v>2</v>
      </c>
      <c r="H44" s="5">
        <f>H30+G44</f>
        <v>16</v>
      </c>
      <c r="I44" s="5">
        <v>7</v>
      </c>
    </row>
    <row r="45" spans="2:9" x14ac:dyDescent="0.3">
      <c r="B45" s="4" t="s">
        <v>9</v>
      </c>
      <c r="C45" s="4">
        <v>2</v>
      </c>
      <c r="D45" s="4">
        <v>20</v>
      </c>
      <c r="E45" s="4"/>
      <c r="F45" s="4"/>
      <c r="G45" s="4">
        <f t="shared" si="5"/>
        <v>22</v>
      </c>
      <c r="H45" s="5">
        <f>H29+G45</f>
        <v>29</v>
      </c>
      <c r="I45" s="5">
        <v>3</v>
      </c>
    </row>
    <row r="46" spans="2:9" x14ac:dyDescent="0.3">
      <c r="B46" s="4" t="s">
        <v>14</v>
      </c>
      <c r="C46" s="4">
        <v>2</v>
      </c>
      <c r="D46" s="4"/>
      <c r="E46" s="4"/>
      <c r="F46" s="4"/>
      <c r="G46" s="4">
        <f t="shared" si="5"/>
        <v>2</v>
      </c>
      <c r="H46" s="5">
        <f>H31+G46</f>
        <v>18.5</v>
      </c>
      <c r="I46" s="5">
        <v>6</v>
      </c>
    </row>
    <row r="47" spans="2:9" x14ac:dyDescent="0.3">
      <c r="B47" s="4" t="s">
        <v>17</v>
      </c>
      <c r="C47" s="4">
        <v>2</v>
      </c>
      <c r="D47" s="4"/>
      <c r="E47" s="4"/>
      <c r="F47" s="4"/>
      <c r="G47" s="4">
        <f t="shared" si="5"/>
        <v>2</v>
      </c>
      <c r="H47" s="5">
        <f>H32+G47</f>
        <v>4</v>
      </c>
      <c r="I47" s="5">
        <v>8</v>
      </c>
    </row>
    <row r="48" spans="2:9" x14ac:dyDescent="0.3">
      <c r="B48" s="4" t="s">
        <v>18</v>
      </c>
      <c r="C48" s="6">
        <v>0</v>
      </c>
      <c r="D48" s="4"/>
      <c r="E48" s="4"/>
      <c r="F48" s="4"/>
      <c r="G48" s="4">
        <f t="shared" si="5"/>
        <v>0</v>
      </c>
      <c r="H48" s="5">
        <f>H33+G48</f>
        <v>0</v>
      </c>
      <c r="I48" s="5">
        <v>11</v>
      </c>
    </row>
    <row r="49" spans="2:9" x14ac:dyDescent="0.3">
      <c r="B49" s="7" t="s">
        <v>19</v>
      </c>
      <c r="C49" s="7">
        <f t="shared" ref="C49:H49" si="6">SUM(C38:C48)</f>
        <v>16</v>
      </c>
      <c r="D49" s="7">
        <f t="shared" si="6"/>
        <v>30</v>
      </c>
      <c r="E49" s="7">
        <f t="shared" si="6"/>
        <v>0</v>
      </c>
      <c r="F49" s="7">
        <f t="shared" si="6"/>
        <v>15</v>
      </c>
      <c r="G49" s="7">
        <f t="shared" si="6"/>
        <v>61</v>
      </c>
      <c r="H49" s="7">
        <f t="shared" si="6"/>
        <v>179</v>
      </c>
      <c r="I49" s="7"/>
    </row>
    <row r="50" spans="2:9" ht="14.5" thickBot="1" x14ac:dyDescent="0.35">
      <c r="B50" s="8"/>
      <c r="C50" s="8"/>
      <c r="D50" s="8"/>
      <c r="E50" s="8"/>
      <c r="F50" s="8"/>
      <c r="G50" s="8"/>
    </row>
    <row r="51" spans="2:9" ht="14.5" thickBot="1" x14ac:dyDescent="0.35">
      <c r="B51" s="16" t="s">
        <v>30</v>
      </c>
      <c r="C51" s="17"/>
      <c r="D51" s="17"/>
      <c r="E51" s="17"/>
      <c r="F51" s="17"/>
      <c r="G51" s="17"/>
      <c r="H51" s="18"/>
      <c r="I51" s="19"/>
    </row>
    <row r="52" spans="2:9" x14ac:dyDescent="0.3">
      <c r="B52" s="2" t="s">
        <v>1</v>
      </c>
      <c r="C52" s="3" t="s">
        <v>40</v>
      </c>
      <c r="D52" s="3" t="s">
        <v>2</v>
      </c>
      <c r="E52" s="3" t="s">
        <v>3</v>
      </c>
      <c r="F52" s="3" t="s">
        <v>4</v>
      </c>
      <c r="G52" s="3" t="s">
        <v>5</v>
      </c>
      <c r="H52" s="3" t="s">
        <v>6</v>
      </c>
      <c r="I52" s="3" t="s">
        <v>7</v>
      </c>
    </row>
    <row r="53" spans="2:9" x14ac:dyDescent="0.3">
      <c r="B53" s="4" t="s">
        <v>11</v>
      </c>
      <c r="C53" s="4"/>
      <c r="D53" s="4"/>
      <c r="E53" s="4"/>
      <c r="F53" s="4"/>
      <c r="G53" s="4">
        <f t="shared" ref="G53:G63" si="7">SUM(C53:F53)</f>
        <v>0</v>
      </c>
      <c r="H53" s="5">
        <f>H38+G53</f>
        <v>21</v>
      </c>
      <c r="I53" s="5"/>
    </row>
    <row r="54" spans="2:9" x14ac:dyDescent="0.3">
      <c r="B54" s="4" t="s">
        <v>12</v>
      </c>
      <c r="C54" s="4"/>
      <c r="D54" s="4"/>
      <c r="E54" s="4"/>
      <c r="F54" s="4"/>
      <c r="G54" s="4">
        <f t="shared" si="7"/>
        <v>0</v>
      </c>
      <c r="H54" s="5">
        <f>H44+G54</f>
        <v>16</v>
      </c>
      <c r="I54" s="5"/>
    </row>
    <row r="55" spans="2:9" x14ac:dyDescent="0.3">
      <c r="B55" s="4" t="s">
        <v>13</v>
      </c>
      <c r="C55" s="4"/>
      <c r="D55" s="4"/>
      <c r="E55" s="4"/>
      <c r="F55" s="4"/>
      <c r="G55" s="4">
        <f t="shared" si="7"/>
        <v>0</v>
      </c>
      <c r="H55" s="5">
        <f>H41+G55</f>
        <v>18.5</v>
      </c>
      <c r="I55" s="5"/>
    </row>
    <row r="56" spans="2:9" x14ac:dyDescent="0.3">
      <c r="B56" s="4" t="s">
        <v>16</v>
      </c>
      <c r="C56" s="4"/>
      <c r="D56" s="4"/>
      <c r="E56" s="4"/>
      <c r="F56" s="4"/>
      <c r="G56" s="4">
        <f t="shared" si="7"/>
        <v>0</v>
      </c>
      <c r="H56" s="5">
        <f>H39+G56</f>
        <v>31</v>
      </c>
      <c r="I56" s="5"/>
    </row>
    <row r="57" spans="2:9" x14ac:dyDescent="0.3">
      <c r="B57" s="4" t="s">
        <v>10</v>
      </c>
      <c r="C57" s="4"/>
      <c r="D57" s="4"/>
      <c r="E57" s="4"/>
      <c r="F57" s="4"/>
      <c r="G57" s="4">
        <f t="shared" si="7"/>
        <v>0</v>
      </c>
      <c r="H57" s="5">
        <f>H43+G57</f>
        <v>41</v>
      </c>
      <c r="I57" s="5"/>
    </row>
    <row r="58" spans="2:9" x14ac:dyDescent="0.3">
      <c r="B58" s="4" t="s">
        <v>8</v>
      </c>
      <c r="C58" s="4"/>
      <c r="D58" s="4"/>
      <c r="E58" s="4"/>
      <c r="F58" s="4"/>
      <c r="G58" s="4">
        <f t="shared" si="7"/>
        <v>0</v>
      </c>
      <c r="H58" s="5">
        <f>H40+G58</f>
        <v>0</v>
      </c>
      <c r="I58" s="5"/>
    </row>
    <row r="59" spans="2:9" x14ac:dyDescent="0.3">
      <c r="B59" s="4" t="s">
        <v>15</v>
      </c>
      <c r="C59" s="4"/>
      <c r="D59" s="4"/>
      <c r="E59" s="4"/>
      <c r="F59" s="4"/>
      <c r="G59" s="4">
        <f t="shared" si="7"/>
        <v>0</v>
      </c>
      <c r="H59" s="5">
        <f>H42+G59</f>
        <v>0</v>
      </c>
      <c r="I59" s="5"/>
    </row>
    <row r="60" spans="2:9" x14ac:dyDescent="0.3">
      <c r="B60" s="4" t="s">
        <v>9</v>
      </c>
      <c r="C60" s="4"/>
      <c r="D60" s="4"/>
      <c r="E60" s="4"/>
      <c r="F60" s="4"/>
      <c r="G60" s="4">
        <f t="shared" si="7"/>
        <v>0</v>
      </c>
      <c r="H60" s="5">
        <f>H45+G60</f>
        <v>29</v>
      </c>
      <c r="I60" s="5"/>
    </row>
    <row r="61" spans="2:9" x14ac:dyDescent="0.3">
      <c r="B61" s="4" t="s">
        <v>14</v>
      </c>
      <c r="C61" s="4"/>
      <c r="D61" s="4"/>
      <c r="E61" s="4"/>
      <c r="F61" s="4"/>
      <c r="G61" s="4">
        <f t="shared" si="7"/>
        <v>0</v>
      </c>
      <c r="H61" s="5">
        <f>H46+G61</f>
        <v>18.5</v>
      </c>
      <c r="I61" s="5"/>
    </row>
    <row r="62" spans="2:9" x14ac:dyDescent="0.3">
      <c r="B62" s="4" t="s">
        <v>17</v>
      </c>
      <c r="C62" s="4"/>
      <c r="D62" s="4"/>
      <c r="E62" s="4"/>
      <c r="F62" s="4"/>
      <c r="G62" s="4">
        <f t="shared" si="7"/>
        <v>0</v>
      </c>
      <c r="H62" s="5">
        <f>H47+G62</f>
        <v>4</v>
      </c>
      <c r="I62" s="5"/>
    </row>
    <row r="63" spans="2:9" x14ac:dyDescent="0.3">
      <c r="B63" s="4" t="s">
        <v>18</v>
      </c>
      <c r="C63" s="6"/>
      <c r="D63" s="4"/>
      <c r="E63" s="4"/>
      <c r="F63" s="4"/>
      <c r="G63" s="4">
        <f t="shared" si="7"/>
        <v>0</v>
      </c>
      <c r="H63" s="5">
        <f>H48+G63</f>
        <v>0</v>
      </c>
      <c r="I63" s="5"/>
    </row>
    <row r="64" spans="2:9" x14ac:dyDescent="0.3">
      <c r="B64" s="7" t="s">
        <v>19</v>
      </c>
      <c r="C64" s="7">
        <f t="shared" ref="C64:H64" si="8">SUM(C53:C63)</f>
        <v>0</v>
      </c>
      <c r="D64" s="7">
        <f t="shared" si="8"/>
        <v>0</v>
      </c>
      <c r="E64" s="7">
        <f t="shared" si="8"/>
        <v>0</v>
      </c>
      <c r="F64" s="7">
        <f t="shared" si="8"/>
        <v>0</v>
      </c>
      <c r="G64" s="7">
        <f t="shared" si="8"/>
        <v>0</v>
      </c>
      <c r="H64" s="7">
        <f t="shared" si="8"/>
        <v>179</v>
      </c>
      <c r="I64" s="7"/>
    </row>
    <row r="65" spans="2:9" x14ac:dyDescent="0.3">
      <c r="B65" s="8"/>
      <c r="C65" s="8"/>
      <c r="D65" s="8"/>
      <c r="E65" s="8"/>
      <c r="F65" s="8"/>
      <c r="G65" s="8"/>
    </row>
    <row r="66" spans="2:9" x14ac:dyDescent="0.3">
      <c r="B66" s="15" t="s">
        <v>20</v>
      </c>
      <c r="C66" s="15"/>
      <c r="D66" s="15"/>
      <c r="E66" s="15"/>
      <c r="F66" s="15"/>
      <c r="G66" s="15"/>
      <c r="H66" s="15"/>
      <c r="I66" s="15"/>
    </row>
    <row r="67" spans="2:9" x14ac:dyDescent="0.3">
      <c r="B67" s="15"/>
      <c r="C67" s="15"/>
      <c r="D67" s="15"/>
      <c r="E67" s="15"/>
      <c r="F67" s="15"/>
      <c r="G67" s="15"/>
      <c r="H67" s="15"/>
      <c r="I67" s="15"/>
    </row>
  </sheetData>
  <mergeCells count="7">
    <mergeCell ref="B36:I36"/>
    <mergeCell ref="B51:I51"/>
    <mergeCell ref="B66:I67"/>
    <mergeCell ref="B2:I2"/>
    <mergeCell ref="B4:I4"/>
    <mergeCell ref="B6:I6"/>
    <mergeCell ref="B21:I21"/>
  </mergeCells>
  <phoneticPr fontId="4"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C295F-097E-4FE2-B773-9401ACC80503}">
  <dimension ref="B1:I80"/>
  <sheetViews>
    <sheetView topLeftCell="A46" workbookViewId="0">
      <selection activeCell="B46" sqref="B1:I65536"/>
    </sheetView>
  </sheetViews>
  <sheetFormatPr defaultColWidth="9.08984375" defaultRowHeight="14" x14ac:dyDescent="0.3"/>
  <cols>
    <col min="1" max="1" width="1.6328125" style="1" customWidth="1"/>
    <col min="2" max="9" width="20.6328125" style="1" customWidth="1"/>
    <col min="10" max="16384" width="9.08984375" style="1"/>
  </cols>
  <sheetData>
    <row r="1" spans="2:9" ht="14.5" thickBot="1" x14ac:dyDescent="0.35"/>
    <row r="2" spans="2:9" ht="14.5" thickBot="1" x14ac:dyDescent="0.35">
      <c r="B2" s="16" t="s">
        <v>0</v>
      </c>
      <c r="C2" s="17"/>
      <c r="D2" s="17"/>
      <c r="E2" s="17"/>
      <c r="F2" s="17"/>
      <c r="G2" s="17"/>
      <c r="H2" s="18"/>
      <c r="I2" s="19"/>
    </row>
    <row r="3" spans="2:9" x14ac:dyDescent="0.3">
      <c r="B3" s="2" t="s">
        <v>1</v>
      </c>
      <c r="C3" s="3" t="s">
        <v>40</v>
      </c>
      <c r="D3" s="3" t="s">
        <v>2</v>
      </c>
      <c r="E3" s="3" t="s">
        <v>3</v>
      </c>
      <c r="F3" s="3" t="s">
        <v>4</v>
      </c>
      <c r="G3" s="3" t="s">
        <v>5</v>
      </c>
      <c r="H3" s="3" t="s">
        <v>6</v>
      </c>
      <c r="I3" s="3" t="s">
        <v>7</v>
      </c>
    </row>
    <row r="4" spans="2:9" x14ac:dyDescent="0.3">
      <c r="B4" s="4" t="s">
        <v>8</v>
      </c>
      <c r="C4" s="4">
        <v>2</v>
      </c>
      <c r="D4" s="4">
        <v>30</v>
      </c>
      <c r="E4" s="4"/>
      <c r="F4" s="4"/>
      <c r="G4" s="4">
        <f>SUM(C4:F4)</f>
        <v>32</v>
      </c>
      <c r="H4" s="5">
        <f>G4</f>
        <v>32</v>
      </c>
      <c r="I4" s="5">
        <v>1</v>
      </c>
    </row>
    <row r="5" spans="2:9" x14ac:dyDescent="0.3">
      <c r="B5" s="4" t="s">
        <v>9</v>
      </c>
      <c r="C5" s="4">
        <v>2</v>
      </c>
      <c r="D5" s="4"/>
      <c r="E5" s="4"/>
      <c r="F5" s="4">
        <v>10</v>
      </c>
      <c r="G5" s="4">
        <f t="shared" ref="G5:G14" si="0">SUM(C5:F5)</f>
        <v>12</v>
      </c>
      <c r="H5" s="5">
        <f t="shared" ref="H5:H14" si="1">G5</f>
        <v>12</v>
      </c>
      <c r="I5" s="5">
        <v>2</v>
      </c>
    </row>
    <row r="6" spans="2:9" x14ac:dyDescent="0.3">
      <c r="B6" s="4" t="s">
        <v>10</v>
      </c>
      <c r="C6" s="4">
        <v>2</v>
      </c>
      <c r="D6" s="4"/>
      <c r="E6" s="4"/>
      <c r="F6" s="4">
        <v>5</v>
      </c>
      <c r="G6" s="4">
        <f t="shared" si="0"/>
        <v>7</v>
      </c>
      <c r="H6" s="5">
        <f t="shared" si="1"/>
        <v>7</v>
      </c>
      <c r="I6" s="5">
        <v>3</v>
      </c>
    </row>
    <row r="7" spans="2:9" x14ac:dyDescent="0.3">
      <c r="B7" s="4" t="s">
        <v>11</v>
      </c>
      <c r="C7" s="4">
        <v>2</v>
      </c>
      <c r="D7" s="4"/>
      <c r="E7" s="4"/>
      <c r="F7" s="4"/>
      <c r="G7" s="4">
        <f t="shared" si="0"/>
        <v>2</v>
      </c>
      <c r="H7" s="5">
        <f t="shared" si="1"/>
        <v>2</v>
      </c>
      <c r="I7" s="5">
        <v>4</v>
      </c>
    </row>
    <row r="8" spans="2:9" x14ac:dyDescent="0.3">
      <c r="B8" s="4" t="s">
        <v>12</v>
      </c>
      <c r="C8" s="4">
        <v>2</v>
      </c>
      <c r="D8" s="4"/>
      <c r="E8" s="4"/>
      <c r="F8" s="4"/>
      <c r="G8" s="4">
        <f t="shared" si="0"/>
        <v>2</v>
      </c>
      <c r="H8" s="5">
        <f t="shared" si="1"/>
        <v>2</v>
      </c>
      <c r="I8" s="5">
        <v>4</v>
      </c>
    </row>
    <row r="9" spans="2:9" x14ac:dyDescent="0.3">
      <c r="B9" s="4" t="s">
        <v>13</v>
      </c>
      <c r="C9" s="4">
        <v>2</v>
      </c>
      <c r="D9" s="4"/>
      <c r="E9" s="4"/>
      <c r="F9" s="4"/>
      <c r="G9" s="4">
        <f t="shared" si="0"/>
        <v>2</v>
      </c>
      <c r="H9" s="5">
        <f t="shared" si="1"/>
        <v>2</v>
      </c>
      <c r="I9" s="5">
        <v>4</v>
      </c>
    </row>
    <row r="10" spans="2:9" x14ac:dyDescent="0.3">
      <c r="B10" s="4" t="s">
        <v>14</v>
      </c>
      <c r="C10" s="4">
        <v>2</v>
      </c>
      <c r="D10" s="4"/>
      <c r="E10" s="4"/>
      <c r="F10" s="4"/>
      <c r="G10" s="4">
        <f t="shared" si="0"/>
        <v>2</v>
      </c>
      <c r="H10" s="5">
        <f t="shared" si="1"/>
        <v>2</v>
      </c>
      <c r="I10" s="5">
        <v>4</v>
      </c>
    </row>
    <row r="11" spans="2:9" x14ac:dyDescent="0.3">
      <c r="B11" s="4" t="s">
        <v>15</v>
      </c>
      <c r="C11" s="4"/>
      <c r="D11" s="4"/>
      <c r="E11" s="4"/>
      <c r="F11" s="4"/>
      <c r="G11" s="4">
        <f t="shared" si="0"/>
        <v>0</v>
      </c>
      <c r="H11" s="5">
        <f t="shared" si="1"/>
        <v>0</v>
      </c>
      <c r="I11" s="5">
        <v>8</v>
      </c>
    </row>
    <row r="12" spans="2:9" x14ac:dyDescent="0.3">
      <c r="B12" s="4" t="s">
        <v>16</v>
      </c>
      <c r="C12" s="4"/>
      <c r="D12" s="4"/>
      <c r="E12" s="4"/>
      <c r="F12" s="4"/>
      <c r="G12" s="4">
        <f t="shared" si="0"/>
        <v>0</v>
      </c>
      <c r="H12" s="5">
        <f t="shared" si="1"/>
        <v>0</v>
      </c>
      <c r="I12" s="5">
        <v>8</v>
      </c>
    </row>
    <row r="13" spans="2:9" x14ac:dyDescent="0.3">
      <c r="B13" s="4" t="s">
        <v>17</v>
      </c>
      <c r="C13" s="4"/>
      <c r="D13" s="4"/>
      <c r="E13" s="4"/>
      <c r="F13" s="4"/>
      <c r="G13" s="4">
        <f t="shared" si="0"/>
        <v>0</v>
      </c>
      <c r="H13" s="5">
        <f t="shared" si="1"/>
        <v>0</v>
      </c>
      <c r="I13" s="5">
        <v>8</v>
      </c>
    </row>
    <row r="14" spans="2:9" x14ac:dyDescent="0.3">
      <c r="B14" s="4" t="s">
        <v>18</v>
      </c>
      <c r="C14" s="6"/>
      <c r="D14" s="4"/>
      <c r="E14" s="4"/>
      <c r="F14" s="4"/>
      <c r="G14" s="4">
        <f t="shared" si="0"/>
        <v>0</v>
      </c>
      <c r="H14" s="5">
        <f t="shared" si="1"/>
        <v>0</v>
      </c>
      <c r="I14" s="5">
        <v>8</v>
      </c>
    </row>
    <row r="15" spans="2:9" x14ac:dyDescent="0.3">
      <c r="B15" s="7" t="s">
        <v>19</v>
      </c>
      <c r="C15" s="7">
        <f t="shared" ref="C15:H15" si="2">SUM(C4:C14)</f>
        <v>14</v>
      </c>
      <c r="D15" s="7">
        <f t="shared" si="2"/>
        <v>30</v>
      </c>
      <c r="E15" s="7">
        <f t="shared" si="2"/>
        <v>0</v>
      </c>
      <c r="F15" s="7">
        <f t="shared" si="2"/>
        <v>15</v>
      </c>
      <c r="G15" s="7">
        <f t="shared" si="2"/>
        <v>59</v>
      </c>
      <c r="H15" s="7">
        <f t="shared" si="2"/>
        <v>59</v>
      </c>
      <c r="I15" s="7"/>
    </row>
    <row r="16" spans="2:9" ht="14.5" thickBot="1" x14ac:dyDescent="0.35"/>
    <row r="17" spans="2:9" ht="14.5" thickBot="1" x14ac:dyDescent="0.35">
      <c r="B17" s="16" t="s">
        <v>25</v>
      </c>
      <c r="C17" s="17"/>
      <c r="D17" s="17"/>
      <c r="E17" s="17"/>
      <c r="F17" s="17"/>
      <c r="G17" s="17"/>
      <c r="H17" s="18"/>
      <c r="I17" s="19"/>
    </row>
    <row r="18" spans="2:9" ht="14.5" thickBot="1" x14ac:dyDescent="0.35"/>
    <row r="19" spans="2:9" ht="14.5" thickBot="1" x14ac:dyDescent="0.35">
      <c r="B19" s="16" t="s">
        <v>21</v>
      </c>
      <c r="C19" s="17"/>
      <c r="D19" s="17"/>
      <c r="E19" s="17"/>
      <c r="F19" s="17"/>
      <c r="G19" s="17"/>
      <c r="H19" s="18"/>
      <c r="I19" s="19"/>
    </row>
    <row r="20" spans="2:9" x14ac:dyDescent="0.3">
      <c r="B20" s="2" t="s">
        <v>1</v>
      </c>
      <c r="C20" s="3" t="s">
        <v>40</v>
      </c>
      <c r="D20" s="3" t="s">
        <v>2</v>
      </c>
      <c r="E20" s="3" t="s">
        <v>3</v>
      </c>
      <c r="F20" s="3" t="s">
        <v>4</v>
      </c>
      <c r="G20" s="3" t="s">
        <v>5</v>
      </c>
      <c r="H20" s="3" t="s">
        <v>6</v>
      </c>
      <c r="I20" s="3" t="s">
        <v>7</v>
      </c>
    </row>
    <row r="21" spans="2:9" x14ac:dyDescent="0.3">
      <c r="B21" s="4" t="s">
        <v>8</v>
      </c>
      <c r="C21" s="4"/>
      <c r="D21" s="4"/>
      <c r="E21" s="4"/>
      <c r="F21" s="4"/>
      <c r="G21" s="4">
        <f>SUM(C21:F21)</f>
        <v>0</v>
      </c>
      <c r="H21" s="5">
        <f>H4+G21</f>
        <v>32</v>
      </c>
      <c r="I21" s="5">
        <v>1</v>
      </c>
    </row>
    <row r="22" spans="2:9" x14ac:dyDescent="0.3">
      <c r="B22" s="4" t="s">
        <v>11</v>
      </c>
      <c r="C22" s="4">
        <v>2</v>
      </c>
      <c r="D22" s="4">
        <v>10</v>
      </c>
      <c r="E22" s="4">
        <v>7.5</v>
      </c>
      <c r="F22" s="4"/>
      <c r="G22" s="4">
        <f>SUM(C22:F22)</f>
        <v>19.5</v>
      </c>
      <c r="H22" s="5">
        <f>H7+G22</f>
        <v>21.5</v>
      </c>
      <c r="I22" s="5">
        <v>2</v>
      </c>
    </row>
    <row r="23" spans="2:9" x14ac:dyDescent="0.3">
      <c r="B23" s="4" t="s">
        <v>15</v>
      </c>
      <c r="C23" s="4">
        <v>2</v>
      </c>
      <c r="D23" s="4"/>
      <c r="E23" s="4">
        <v>15</v>
      </c>
      <c r="F23" s="4"/>
      <c r="G23" s="4">
        <f>SUM(C23:F23)</f>
        <v>17</v>
      </c>
      <c r="H23" s="5">
        <f>G23+H11</f>
        <v>17</v>
      </c>
      <c r="I23" s="5">
        <v>3</v>
      </c>
    </row>
    <row r="24" spans="2:9" x14ac:dyDescent="0.3">
      <c r="B24" s="4" t="s">
        <v>9</v>
      </c>
      <c r="C24" s="4"/>
      <c r="D24" s="4"/>
      <c r="E24" s="4"/>
      <c r="F24" s="4"/>
      <c r="G24" s="4">
        <f t="shared" ref="G24:G31" si="3">SUM(C24:F24)</f>
        <v>0</v>
      </c>
      <c r="H24" s="5">
        <f>G24+H5</f>
        <v>12</v>
      </c>
      <c r="I24" s="5">
        <v>4</v>
      </c>
    </row>
    <row r="25" spans="2:9" x14ac:dyDescent="0.3">
      <c r="B25" s="4" t="s">
        <v>16</v>
      </c>
      <c r="C25" s="4">
        <v>2</v>
      </c>
      <c r="D25" s="4"/>
      <c r="E25" s="4">
        <v>7.5</v>
      </c>
      <c r="F25" s="4"/>
      <c r="G25" s="4">
        <f>SUM(C25:F25)</f>
        <v>9.5</v>
      </c>
      <c r="H25" s="5">
        <f>G25+H12</f>
        <v>9.5</v>
      </c>
      <c r="I25" s="5">
        <v>5</v>
      </c>
    </row>
    <row r="26" spans="2:9" x14ac:dyDescent="0.3">
      <c r="B26" s="4" t="s">
        <v>13</v>
      </c>
      <c r="C26" s="4">
        <v>2</v>
      </c>
      <c r="D26" s="4"/>
      <c r="E26" s="4"/>
      <c r="F26" s="4">
        <v>5</v>
      </c>
      <c r="G26" s="4">
        <f>SUM(C26:F26)</f>
        <v>7</v>
      </c>
      <c r="H26" s="5">
        <f>H9+G26</f>
        <v>9</v>
      </c>
      <c r="I26" s="5">
        <v>6</v>
      </c>
    </row>
    <row r="27" spans="2:9" x14ac:dyDescent="0.3">
      <c r="B27" s="4" t="s">
        <v>10</v>
      </c>
      <c r="C27" s="4">
        <v>2</v>
      </c>
      <c r="D27" s="4"/>
      <c r="E27" s="4"/>
      <c r="F27" s="4"/>
      <c r="G27" s="4">
        <f>SUM(C27:F27)</f>
        <v>2</v>
      </c>
      <c r="H27" s="5">
        <f>G27+H6</f>
        <v>9</v>
      </c>
      <c r="I27" s="5">
        <v>6</v>
      </c>
    </row>
    <row r="28" spans="2:9" x14ac:dyDescent="0.3">
      <c r="B28" s="4" t="s">
        <v>12</v>
      </c>
      <c r="C28" s="4">
        <v>2</v>
      </c>
      <c r="D28" s="4"/>
      <c r="E28" s="4"/>
      <c r="F28" s="4"/>
      <c r="G28" s="4">
        <f>SUM(C28:F28)</f>
        <v>2</v>
      </c>
      <c r="H28" s="5">
        <f>G28+H8</f>
        <v>4</v>
      </c>
      <c r="I28" s="5">
        <v>7</v>
      </c>
    </row>
    <row r="29" spans="2:9" x14ac:dyDescent="0.3">
      <c r="B29" s="4" t="s">
        <v>14</v>
      </c>
      <c r="C29" s="4"/>
      <c r="D29" s="4"/>
      <c r="E29" s="4"/>
      <c r="F29" s="4"/>
      <c r="G29" s="4">
        <f t="shared" si="3"/>
        <v>0</v>
      </c>
      <c r="H29" s="5">
        <f>H10+G29</f>
        <v>2</v>
      </c>
      <c r="I29" s="5">
        <v>8</v>
      </c>
    </row>
    <row r="30" spans="2:9" x14ac:dyDescent="0.3">
      <c r="B30" s="4" t="s">
        <v>17</v>
      </c>
      <c r="C30" s="4"/>
      <c r="D30" s="4"/>
      <c r="E30" s="4"/>
      <c r="F30" s="4"/>
      <c r="G30" s="4">
        <f t="shared" si="3"/>
        <v>0</v>
      </c>
      <c r="H30" s="5">
        <f>G30+H13</f>
        <v>0</v>
      </c>
      <c r="I30" s="5">
        <v>9</v>
      </c>
    </row>
    <row r="31" spans="2:9" x14ac:dyDescent="0.3">
      <c r="B31" s="4" t="s">
        <v>18</v>
      </c>
      <c r="C31" s="6"/>
      <c r="D31" s="4"/>
      <c r="E31" s="4"/>
      <c r="F31" s="4"/>
      <c r="G31" s="4">
        <f t="shared" si="3"/>
        <v>0</v>
      </c>
      <c r="H31" s="5">
        <f>G31+H14</f>
        <v>0</v>
      </c>
      <c r="I31" s="5">
        <v>9</v>
      </c>
    </row>
    <row r="32" spans="2:9" x14ac:dyDescent="0.3">
      <c r="B32" s="7" t="s">
        <v>19</v>
      </c>
      <c r="C32" s="7">
        <f t="shared" ref="C32:H32" si="4">SUM(C21:C31)</f>
        <v>12</v>
      </c>
      <c r="D32" s="7">
        <f t="shared" si="4"/>
        <v>10</v>
      </c>
      <c r="E32" s="7">
        <f t="shared" si="4"/>
        <v>30</v>
      </c>
      <c r="F32" s="7">
        <f t="shared" si="4"/>
        <v>5</v>
      </c>
      <c r="G32" s="7">
        <f t="shared" si="4"/>
        <v>57</v>
      </c>
      <c r="H32" s="7">
        <f t="shared" si="4"/>
        <v>116</v>
      </c>
      <c r="I32" s="7"/>
    </row>
    <row r="33" spans="2:9" ht="14.5" thickBot="1" x14ac:dyDescent="0.35"/>
    <row r="34" spans="2:9" ht="14.5" thickBot="1" x14ac:dyDescent="0.35">
      <c r="B34" s="16" t="s">
        <v>22</v>
      </c>
      <c r="C34" s="17"/>
      <c r="D34" s="17"/>
      <c r="E34" s="17"/>
      <c r="F34" s="17"/>
      <c r="G34" s="17"/>
      <c r="H34" s="18"/>
      <c r="I34" s="19"/>
    </row>
    <row r="35" spans="2:9" x14ac:dyDescent="0.3">
      <c r="B35" s="2" t="s">
        <v>1</v>
      </c>
      <c r="C35" s="3" t="s">
        <v>40</v>
      </c>
      <c r="D35" s="3" t="s">
        <v>2</v>
      </c>
      <c r="E35" s="3" t="s">
        <v>3</v>
      </c>
      <c r="F35" s="3" t="s">
        <v>4</v>
      </c>
      <c r="G35" s="3" t="s">
        <v>5</v>
      </c>
      <c r="H35" s="3" t="s">
        <v>6</v>
      </c>
      <c r="I35" s="3" t="s">
        <v>7</v>
      </c>
    </row>
    <row r="36" spans="2:9" x14ac:dyDescent="0.3">
      <c r="B36" s="4" t="s">
        <v>8</v>
      </c>
      <c r="C36" s="4"/>
      <c r="D36" s="4"/>
      <c r="E36" s="4"/>
      <c r="F36" s="4"/>
      <c r="G36" s="4">
        <f t="shared" ref="G36:G41" si="5">SUM(C36:F36)</f>
        <v>0</v>
      </c>
      <c r="H36" s="5">
        <f>H21+G36</f>
        <v>32</v>
      </c>
      <c r="I36" s="5">
        <v>1</v>
      </c>
    </row>
    <row r="37" spans="2:9" x14ac:dyDescent="0.3">
      <c r="B37" s="4" t="s">
        <v>11</v>
      </c>
      <c r="C37" s="4">
        <v>2</v>
      </c>
      <c r="D37" s="4"/>
      <c r="E37" s="4">
        <f>7.5</f>
        <v>7.5</v>
      </c>
      <c r="F37" s="4"/>
      <c r="G37" s="4">
        <f t="shared" si="5"/>
        <v>9.5</v>
      </c>
      <c r="H37" s="5">
        <f>H22+G37</f>
        <v>31</v>
      </c>
      <c r="I37" s="5">
        <v>2</v>
      </c>
    </row>
    <row r="38" spans="2:9" x14ac:dyDescent="0.3">
      <c r="B38" s="4" t="s">
        <v>13</v>
      </c>
      <c r="C38" s="4">
        <v>2</v>
      </c>
      <c r="D38" s="4"/>
      <c r="E38" s="4">
        <f>7.5+7.5</f>
        <v>15</v>
      </c>
      <c r="F38" s="4"/>
      <c r="G38" s="4">
        <f t="shared" si="5"/>
        <v>17</v>
      </c>
      <c r="H38" s="5">
        <f>H26+G38</f>
        <v>26</v>
      </c>
      <c r="I38" s="5">
        <v>3</v>
      </c>
    </row>
    <row r="39" spans="2:9" x14ac:dyDescent="0.3">
      <c r="B39" s="4" t="s">
        <v>15</v>
      </c>
      <c r="C39" s="4">
        <v>2</v>
      </c>
      <c r="D39" s="4"/>
      <c r="E39" s="4"/>
      <c r="F39" s="4">
        <v>5</v>
      </c>
      <c r="G39" s="4">
        <f t="shared" si="5"/>
        <v>7</v>
      </c>
      <c r="H39" s="5">
        <f>H23+G39</f>
        <v>24</v>
      </c>
      <c r="I39" s="5">
        <v>4</v>
      </c>
    </row>
    <row r="40" spans="2:9" x14ac:dyDescent="0.3">
      <c r="B40" s="4" t="s">
        <v>16</v>
      </c>
      <c r="C40" s="4">
        <v>2</v>
      </c>
      <c r="D40" s="4">
        <v>10</v>
      </c>
      <c r="E40" s="4"/>
      <c r="F40" s="4"/>
      <c r="G40" s="4">
        <f t="shared" si="5"/>
        <v>12</v>
      </c>
      <c r="H40" s="5">
        <f>H25+G40</f>
        <v>21.5</v>
      </c>
      <c r="I40" s="5">
        <v>5</v>
      </c>
    </row>
    <row r="41" spans="2:9" x14ac:dyDescent="0.3">
      <c r="B41" s="4" t="s">
        <v>10</v>
      </c>
      <c r="C41" s="4">
        <v>2</v>
      </c>
      <c r="D41" s="4"/>
      <c r="E41" s="4">
        <v>7.5</v>
      </c>
      <c r="F41" s="4"/>
      <c r="G41" s="4">
        <f t="shared" si="5"/>
        <v>9.5</v>
      </c>
      <c r="H41" s="5">
        <f>H27+G41</f>
        <v>18.5</v>
      </c>
      <c r="I41" s="5">
        <v>6</v>
      </c>
    </row>
    <row r="42" spans="2:9" x14ac:dyDescent="0.3">
      <c r="B42" s="4" t="s">
        <v>9</v>
      </c>
      <c r="C42" s="4">
        <v>2</v>
      </c>
      <c r="D42" s="4"/>
      <c r="E42" s="4"/>
      <c r="F42" s="4"/>
      <c r="G42" s="4">
        <f>SUM(C42:F42)</f>
        <v>2</v>
      </c>
      <c r="H42" s="5">
        <f>H24+G42</f>
        <v>14</v>
      </c>
      <c r="I42" s="5">
        <v>7</v>
      </c>
    </row>
    <row r="43" spans="2:9" x14ac:dyDescent="0.3">
      <c r="B43" s="4" t="s">
        <v>12</v>
      </c>
      <c r="C43" s="4">
        <v>2</v>
      </c>
      <c r="D43" s="4"/>
      <c r="E43" s="4"/>
      <c r="F43" s="4"/>
      <c r="G43" s="4">
        <f>SUM(C43:F43)</f>
        <v>2</v>
      </c>
      <c r="H43" s="5">
        <f>H28+G43</f>
        <v>6</v>
      </c>
      <c r="I43" s="5">
        <v>8</v>
      </c>
    </row>
    <row r="44" spans="2:9" x14ac:dyDescent="0.3">
      <c r="B44" s="4" t="s">
        <v>14</v>
      </c>
      <c r="C44" s="4"/>
      <c r="D44" s="4"/>
      <c r="E44" s="4"/>
      <c r="F44" s="4"/>
      <c r="G44" s="4">
        <f>SUM(C44:F44)</f>
        <v>0</v>
      </c>
      <c r="H44" s="5">
        <f>H29+G44</f>
        <v>2</v>
      </c>
      <c r="I44" s="5">
        <v>9</v>
      </c>
    </row>
    <row r="45" spans="2:9" x14ac:dyDescent="0.3">
      <c r="B45" s="4" t="s">
        <v>17</v>
      </c>
      <c r="C45" s="4"/>
      <c r="D45" s="4"/>
      <c r="E45" s="4"/>
      <c r="F45" s="4"/>
      <c r="G45" s="4">
        <f>SUM(C45:F45)</f>
        <v>0</v>
      </c>
      <c r="H45" s="5">
        <f>H30+G45</f>
        <v>0</v>
      </c>
      <c r="I45" s="5">
        <v>10</v>
      </c>
    </row>
    <row r="46" spans="2:9" x14ac:dyDescent="0.3">
      <c r="B46" s="4" t="s">
        <v>18</v>
      </c>
      <c r="C46" s="6"/>
      <c r="D46" s="4"/>
      <c r="E46" s="4"/>
      <c r="F46" s="4"/>
      <c r="G46" s="4">
        <f>SUM(C46:F46)</f>
        <v>0</v>
      </c>
      <c r="H46" s="5">
        <f>H31+G46</f>
        <v>0</v>
      </c>
      <c r="I46" s="5">
        <v>10</v>
      </c>
    </row>
    <row r="47" spans="2:9" x14ac:dyDescent="0.3">
      <c r="B47" s="7" t="s">
        <v>19</v>
      </c>
      <c r="C47" s="7">
        <f t="shared" ref="C47:H47" si="6">SUM(C36:C46)</f>
        <v>14</v>
      </c>
      <c r="D47" s="7">
        <f t="shared" si="6"/>
        <v>10</v>
      </c>
      <c r="E47" s="7">
        <f t="shared" si="6"/>
        <v>30</v>
      </c>
      <c r="F47" s="7">
        <f t="shared" si="6"/>
        <v>5</v>
      </c>
      <c r="G47" s="7">
        <f t="shared" si="6"/>
        <v>59</v>
      </c>
      <c r="H47" s="7">
        <f t="shared" si="6"/>
        <v>175</v>
      </c>
      <c r="I47" s="7"/>
    </row>
    <row r="48" spans="2:9" ht="14.5" thickBot="1" x14ac:dyDescent="0.35"/>
    <row r="49" spans="2:9" ht="14.5" thickBot="1" x14ac:dyDescent="0.35">
      <c r="B49" s="16" t="s">
        <v>23</v>
      </c>
      <c r="C49" s="17"/>
      <c r="D49" s="17"/>
      <c r="E49" s="17"/>
      <c r="F49" s="17"/>
      <c r="G49" s="17"/>
      <c r="H49" s="18"/>
      <c r="I49" s="19"/>
    </row>
    <row r="50" spans="2:9" x14ac:dyDescent="0.3">
      <c r="B50" s="2" t="s">
        <v>1</v>
      </c>
      <c r="C50" s="3" t="s">
        <v>40</v>
      </c>
      <c r="D50" s="3" t="s">
        <v>2</v>
      </c>
      <c r="E50" s="3" t="s">
        <v>3</v>
      </c>
      <c r="F50" s="3" t="s">
        <v>4</v>
      </c>
      <c r="G50" s="3" t="s">
        <v>5</v>
      </c>
      <c r="H50" s="3" t="s">
        <v>6</v>
      </c>
      <c r="I50" s="3" t="s">
        <v>7</v>
      </c>
    </row>
    <row r="51" spans="2:9" x14ac:dyDescent="0.3">
      <c r="B51" s="4" t="s">
        <v>11</v>
      </c>
      <c r="C51" s="4">
        <v>2</v>
      </c>
      <c r="D51" s="4"/>
      <c r="E51" s="4">
        <v>15</v>
      </c>
      <c r="F51" s="4"/>
      <c r="G51" s="4">
        <f t="shared" ref="G51:G61" si="7">SUM(C51:F51)</f>
        <v>17</v>
      </c>
      <c r="H51" s="5">
        <f>H37+G51</f>
        <v>48</v>
      </c>
      <c r="I51" s="5">
        <v>1</v>
      </c>
    </row>
    <row r="52" spans="2:9" x14ac:dyDescent="0.3">
      <c r="B52" s="4" t="s">
        <v>16</v>
      </c>
      <c r="C52" s="4">
        <v>2</v>
      </c>
      <c r="D52" s="4">
        <v>10</v>
      </c>
      <c r="E52" s="4"/>
      <c r="F52" s="4"/>
      <c r="G52" s="4">
        <f t="shared" si="7"/>
        <v>12</v>
      </c>
      <c r="H52" s="5">
        <f>H40+G52</f>
        <v>33.5</v>
      </c>
      <c r="I52" s="5">
        <v>2</v>
      </c>
    </row>
    <row r="53" spans="2:9" x14ac:dyDescent="0.3">
      <c r="B53" s="4" t="s">
        <v>8</v>
      </c>
      <c r="C53" s="4"/>
      <c r="D53" s="4"/>
      <c r="E53" s="4"/>
      <c r="F53" s="4"/>
      <c r="G53" s="4">
        <f t="shared" si="7"/>
        <v>0</v>
      </c>
      <c r="H53" s="5">
        <f>H36+G53</f>
        <v>32</v>
      </c>
      <c r="I53" s="5">
        <v>3</v>
      </c>
    </row>
    <row r="54" spans="2:9" x14ac:dyDescent="0.3">
      <c r="B54" s="4" t="s">
        <v>13</v>
      </c>
      <c r="C54" s="4">
        <v>2</v>
      </c>
      <c r="D54" s="4"/>
      <c r="E54" s="4"/>
      <c r="F54" s="4"/>
      <c r="G54" s="4">
        <f t="shared" si="7"/>
        <v>2</v>
      </c>
      <c r="H54" s="5">
        <f>H38+G54</f>
        <v>28</v>
      </c>
      <c r="I54" s="5">
        <v>4</v>
      </c>
    </row>
    <row r="55" spans="2:9" x14ac:dyDescent="0.3">
      <c r="B55" s="4" t="s">
        <v>15</v>
      </c>
      <c r="C55" s="4">
        <v>2</v>
      </c>
      <c r="D55" s="4"/>
      <c r="E55" s="4"/>
      <c r="F55" s="4"/>
      <c r="G55" s="4">
        <f t="shared" si="7"/>
        <v>2</v>
      </c>
      <c r="H55" s="5">
        <f>H39+G55</f>
        <v>26</v>
      </c>
      <c r="I55" s="5">
        <v>5</v>
      </c>
    </row>
    <row r="56" spans="2:9" x14ac:dyDescent="0.3">
      <c r="B56" s="4" t="s">
        <v>10</v>
      </c>
      <c r="C56" s="4">
        <v>2</v>
      </c>
      <c r="D56" s="4"/>
      <c r="E56" s="4">
        <v>5</v>
      </c>
      <c r="F56" s="4"/>
      <c r="G56" s="4">
        <f t="shared" si="7"/>
        <v>7</v>
      </c>
      <c r="H56" s="5">
        <f>H41+G56</f>
        <v>25.5</v>
      </c>
      <c r="I56" s="5">
        <v>6</v>
      </c>
    </row>
    <row r="57" spans="2:9" x14ac:dyDescent="0.3">
      <c r="B57" s="4" t="s">
        <v>12</v>
      </c>
      <c r="C57" s="4">
        <v>2</v>
      </c>
      <c r="D57" s="4"/>
      <c r="E57" s="4">
        <v>15</v>
      </c>
      <c r="F57" s="4"/>
      <c r="G57" s="4">
        <f t="shared" si="7"/>
        <v>17</v>
      </c>
      <c r="H57" s="5">
        <f>H43+G57</f>
        <v>23</v>
      </c>
      <c r="I57" s="5">
        <v>7</v>
      </c>
    </row>
    <row r="58" spans="2:9" x14ac:dyDescent="0.3">
      <c r="B58" s="4" t="s">
        <v>9</v>
      </c>
      <c r="C58" s="4">
        <v>2</v>
      </c>
      <c r="D58" s="4"/>
      <c r="E58" s="4"/>
      <c r="F58" s="4"/>
      <c r="G58" s="4">
        <f t="shared" si="7"/>
        <v>2</v>
      </c>
      <c r="H58" s="5">
        <f>H42+G58</f>
        <v>16</v>
      </c>
      <c r="I58" s="5">
        <v>8</v>
      </c>
    </row>
    <row r="59" spans="2:9" x14ac:dyDescent="0.3">
      <c r="B59" s="4" t="s">
        <v>14</v>
      </c>
      <c r="C59" s="4"/>
      <c r="D59" s="4"/>
      <c r="E59" s="4"/>
      <c r="F59" s="4"/>
      <c r="G59" s="4">
        <f t="shared" si="7"/>
        <v>0</v>
      </c>
      <c r="H59" s="5">
        <f>H44+G59</f>
        <v>2</v>
      </c>
      <c r="I59" s="5">
        <v>9</v>
      </c>
    </row>
    <row r="60" spans="2:9" x14ac:dyDescent="0.3">
      <c r="B60" s="4" t="s">
        <v>17</v>
      </c>
      <c r="C60" s="4"/>
      <c r="D60" s="4"/>
      <c r="E60" s="4"/>
      <c r="F60" s="4"/>
      <c r="G60" s="4">
        <f t="shared" si="7"/>
        <v>0</v>
      </c>
      <c r="H60" s="5">
        <f>H45+G60</f>
        <v>0</v>
      </c>
      <c r="I60" s="5">
        <v>10</v>
      </c>
    </row>
    <row r="61" spans="2:9" x14ac:dyDescent="0.3">
      <c r="B61" s="4" t="s">
        <v>18</v>
      </c>
      <c r="C61" s="6"/>
      <c r="D61" s="4"/>
      <c r="E61" s="4"/>
      <c r="F61" s="4"/>
      <c r="G61" s="4">
        <f t="shared" si="7"/>
        <v>0</v>
      </c>
      <c r="H61" s="5">
        <f>H46+G61</f>
        <v>0</v>
      </c>
      <c r="I61" s="5">
        <v>10</v>
      </c>
    </row>
    <row r="62" spans="2:9" x14ac:dyDescent="0.3">
      <c r="B62" s="7" t="s">
        <v>19</v>
      </c>
      <c r="C62" s="7">
        <f t="shared" ref="C62:H62" si="8">SUM(C51:C61)</f>
        <v>14</v>
      </c>
      <c r="D62" s="7">
        <f t="shared" si="8"/>
        <v>10</v>
      </c>
      <c r="E62" s="7">
        <f t="shared" si="8"/>
        <v>35</v>
      </c>
      <c r="F62" s="7">
        <f t="shared" si="8"/>
        <v>0</v>
      </c>
      <c r="G62" s="7">
        <f t="shared" si="8"/>
        <v>59</v>
      </c>
      <c r="H62" s="7">
        <f t="shared" si="8"/>
        <v>234</v>
      </c>
      <c r="I62" s="7"/>
    </row>
    <row r="63" spans="2:9" ht="14.5" thickBot="1" x14ac:dyDescent="0.35">
      <c r="B63" s="8"/>
      <c r="C63" s="8"/>
      <c r="D63" s="8"/>
      <c r="E63" s="8"/>
      <c r="F63" s="8"/>
      <c r="G63" s="8"/>
    </row>
    <row r="64" spans="2:9" ht="14.5" thickBot="1" x14ac:dyDescent="0.35">
      <c r="B64" s="16" t="s">
        <v>24</v>
      </c>
      <c r="C64" s="17"/>
      <c r="D64" s="17"/>
      <c r="E64" s="17"/>
      <c r="F64" s="17"/>
      <c r="G64" s="17"/>
      <c r="H64" s="18"/>
      <c r="I64" s="19"/>
    </row>
    <row r="65" spans="2:9" x14ac:dyDescent="0.3">
      <c r="B65" s="2" t="s">
        <v>1</v>
      </c>
      <c r="C65" s="3" t="s">
        <v>40</v>
      </c>
      <c r="D65" s="3" t="s">
        <v>2</v>
      </c>
      <c r="E65" s="3" t="s">
        <v>3</v>
      </c>
      <c r="F65" s="3" t="s">
        <v>4</v>
      </c>
      <c r="G65" s="3" t="s">
        <v>5</v>
      </c>
      <c r="H65" s="3" t="s">
        <v>6</v>
      </c>
      <c r="I65" s="3" t="s">
        <v>7</v>
      </c>
    </row>
    <row r="66" spans="2:9" x14ac:dyDescent="0.3">
      <c r="B66" s="4" t="s">
        <v>11</v>
      </c>
      <c r="C66" s="4">
        <v>2</v>
      </c>
      <c r="D66" s="4"/>
      <c r="E66" s="4">
        <v>2.5</v>
      </c>
      <c r="F66" s="4"/>
      <c r="G66" s="4">
        <f t="shared" ref="G66:G76" si="9">SUM(C66:F66)</f>
        <v>4.5</v>
      </c>
      <c r="H66" s="5">
        <f>H51+G66</f>
        <v>52.5</v>
      </c>
      <c r="I66" s="5">
        <v>1</v>
      </c>
    </row>
    <row r="67" spans="2:9" x14ac:dyDescent="0.3">
      <c r="B67" s="4" t="s">
        <v>12</v>
      </c>
      <c r="C67" s="4">
        <v>2</v>
      </c>
      <c r="D67" s="4">
        <v>20</v>
      </c>
      <c r="E67" s="4">
        <v>7.5</v>
      </c>
      <c r="F67" s="4"/>
      <c r="G67" s="4">
        <f t="shared" si="9"/>
        <v>29.5</v>
      </c>
      <c r="H67" s="5">
        <f>H57+G67</f>
        <v>52.5</v>
      </c>
      <c r="I67" s="5">
        <v>1</v>
      </c>
    </row>
    <row r="68" spans="2:9" x14ac:dyDescent="0.3">
      <c r="B68" s="4" t="s">
        <v>13</v>
      </c>
      <c r="C68" s="4">
        <v>2</v>
      </c>
      <c r="D68" s="4"/>
      <c r="E68" s="4">
        <v>2.5</v>
      </c>
      <c r="F68" s="4">
        <v>5</v>
      </c>
      <c r="G68" s="4">
        <f t="shared" si="9"/>
        <v>9.5</v>
      </c>
      <c r="H68" s="5">
        <f>H54+G68</f>
        <v>37.5</v>
      </c>
      <c r="I68" s="5">
        <v>3</v>
      </c>
    </row>
    <row r="69" spans="2:9" x14ac:dyDescent="0.3">
      <c r="B69" s="4" t="s">
        <v>16</v>
      </c>
      <c r="C69" s="4">
        <v>2</v>
      </c>
      <c r="D69" s="4"/>
      <c r="E69" s="4"/>
      <c r="F69" s="4"/>
      <c r="G69" s="4">
        <f t="shared" si="9"/>
        <v>2</v>
      </c>
      <c r="H69" s="5">
        <f>H52+G69</f>
        <v>35.5</v>
      </c>
      <c r="I69" s="5">
        <v>4</v>
      </c>
    </row>
    <row r="70" spans="2:9" x14ac:dyDescent="0.3">
      <c r="B70" s="4" t="s">
        <v>10</v>
      </c>
      <c r="C70" s="4">
        <v>2</v>
      </c>
      <c r="D70" s="4"/>
      <c r="E70" s="4">
        <v>7.5</v>
      </c>
      <c r="F70" s="4"/>
      <c r="G70" s="4">
        <f t="shared" si="9"/>
        <v>9.5</v>
      </c>
      <c r="H70" s="5">
        <f>H56+G70</f>
        <v>35</v>
      </c>
      <c r="I70" s="5">
        <v>5</v>
      </c>
    </row>
    <row r="71" spans="2:9" x14ac:dyDescent="0.3">
      <c r="B71" s="4" t="s">
        <v>8</v>
      </c>
      <c r="C71" s="4"/>
      <c r="D71" s="4"/>
      <c r="E71" s="4"/>
      <c r="F71" s="4"/>
      <c r="G71" s="4">
        <f t="shared" si="9"/>
        <v>0</v>
      </c>
      <c r="H71" s="5">
        <f>H53+G71</f>
        <v>32</v>
      </c>
      <c r="I71" s="5">
        <v>6</v>
      </c>
    </row>
    <row r="72" spans="2:9" x14ac:dyDescent="0.3">
      <c r="B72" s="4" t="s">
        <v>15</v>
      </c>
      <c r="C72" s="4"/>
      <c r="D72" s="4"/>
      <c r="E72" s="4"/>
      <c r="F72" s="4"/>
      <c r="G72" s="4">
        <f t="shared" si="9"/>
        <v>0</v>
      </c>
      <c r="H72" s="5">
        <f>H55+G72</f>
        <v>26</v>
      </c>
      <c r="I72" s="5">
        <v>7</v>
      </c>
    </row>
    <row r="73" spans="2:9" x14ac:dyDescent="0.3">
      <c r="B73" s="4" t="s">
        <v>9</v>
      </c>
      <c r="C73" s="4">
        <v>2</v>
      </c>
      <c r="D73" s="4"/>
      <c r="E73" s="4"/>
      <c r="F73" s="4"/>
      <c r="G73" s="4">
        <f t="shared" si="9"/>
        <v>2</v>
      </c>
      <c r="H73" s="5">
        <f>H58+G73</f>
        <v>18</v>
      </c>
      <c r="I73" s="5">
        <v>8</v>
      </c>
    </row>
    <row r="74" spans="2:9" x14ac:dyDescent="0.3">
      <c r="B74" s="4" t="s">
        <v>14</v>
      </c>
      <c r="C74" s="4"/>
      <c r="D74" s="4"/>
      <c r="E74" s="4"/>
      <c r="F74" s="4"/>
      <c r="G74" s="4">
        <f t="shared" si="9"/>
        <v>0</v>
      </c>
      <c r="H74" s="5">
        <f>H59+G74</f>
        <v>2</v>
      </c>
      <c r="I74" s="5">
        <v>9</v>
      </c>
    </row>
    <row r="75" spans="2:9" x14ac:dyDescent="0.3">
      <c r="B75" s="4" t="s">
        <v>17</v>
      </c>
      <c r="C75" s="4"/>
      <c r="D75" s="4"/>
      <c r="E75" s="4"/>
      <c r="F75" s="4"/>
      <c r="G75" s="4">
        <f t="shared" si="9"/>
        <v>0</v>
      </c>
      <c r="H75" s="5">
        <f>H60+G75</f>
        <v>0</v>
      </c>
      <c r="I75" s="5">
        <v>10</v>
      </c>
    </row>
    <row r="76" spans="2:9" x14ac:dyDescent="0.3">
      <c r="B76" s="4" t="s">
        <v>18</v>
      </c>
      <c r="C76" s="6"/>
      <c r="D76" s="4"/>
      <c r="E76" s="4"/>
      <c r="F76" s="4"/>
      <c r="G76" s="4">
        <f t="shared" si="9"/>
        <v>0</v>
      </c>
      <c r="H76" s="5">
        <f>H61+G76</f>
        <v>0</v>
      </c>
      <c r="I76" s="5">
        <v>10</v>
      </c>
    </row>
    <row r="77" spans="2:9" x14ac:dyDescent="0.3">
      <c r="B77" s="7" t="s">
        <v>19</v>
      </c>
      <c r="C77" s="7">
        <f t="shared" ref="C77:H77" si="10">SUM(C66:C76)</f>
        <v>12</v>
      </c>
      <c r="D77" s="7">
        <f t="shared" si="10"/>
        <v>20</v>
      </c>
      <c r="E77" s="7">
        <f t="shared" si="10"/>
        <v>20</v>
      </c>
      <c r="F77" s="7">
        <f t="shared" si="10"/>
        <v>5</v>
      </c>
      <c r="G77" s="7">
        <f t="shared" si="10"/>
        <v>57</v>
      </c>
      <c r="H77" s="7">
        <f t="shared" si="10"/>
        <v>291</v>
      </c>
      <c r="I77" s="7"/>
    </row>
    <row r="78" spans="2:9" x14ac:dyDescent="0.3">
      <c r="B78" s="8"/>
      <c r="C78" s="8"/>
      <c r="D78" s="8"/>
      <c r="E78" s="8"/>
      <c r="F78" s="8"/>
      <c r="G78" s="8"/>
    </row>
    <row r="79" spans="2:9" x14ac:dyDescent="0.3">
      <c r="B79" s="15" t="s">
        <v>20</v>
      </c>
      <c r="C79" s="15"/>
      <c r="D79" s="15"/>
      <c r="E79" s="15"/>
      <c r="F79" s="15"/>
      <c r="G79" s="15"/>
      <c r="H79" s="15"/>
      <c r="I79" s="15"/>
    </row>
    <row r="80" spans="2:9" x14ac:dyDescent="0.3">
      <c r="B80" s="15"/>
      <c r="C80" s="15"/>
      <c r="D80" s="15"/>
      <c r="E80" s="15"/>
      <c r="F80" s="15"/>
      <c r="G80" s="15"/>
      <c r="H80" s="15"/>
      <c r="I80" s="15"/>
    </row>
  </sheetData>
  <mergeCells count="7">
    <mergeCell ref="B2:I2"/>
    <mergeCell ref="B79:I80"/>
    <mergeCell ref="B19:I19"/>
    <mergeCell ref="B34:I34"/>
    <mergeCell ref="B49:I49"/>
    <mergeCell ref="B64:I64"/>
    <mergeCell ref="B17:I17"/>
  </mergeCells>
  <phoneticPr fontId="4"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Poker_2025_26</vt:lpstr>
      <vt:lpstr>Poker_2024_25</vt:lpstr>
      <vt:lpstr>Poker_2023_24</vt:lpstr>
      <vt:lpstr>Poker_2022_23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Braithwaite</dc:creator>
  <cp:lastModifiedBy>Christopher Braithwaite</cp:lastModifiedBy>
  <dcterms:created xsi:type="dcterms:W3CDTF">2023-02-08T00:14:34Z</dcterms:created>
  <dcterms:modified xsi:type="dcterms:W3CDTF">2026-03-16T03:21:43Z</dcterms:modified>
</cp:coreProperties>
</file>